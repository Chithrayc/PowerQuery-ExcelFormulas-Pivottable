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DA 30Days\"/>
    </mc:Choice>
  </mc:AlternateContent>
  <bookViews>
    <workbookView xWindow="0" yWindow="0" windowWidth="17256" windowHeight="5772"/>
  </bookViews>
  <sheets>
    <sheet name="Day1" sheetId="2" r:id="rId1"/>
    <sheet name="Day2" sheetId="1" r:id="rId2"/>
    <sheet name="D2(dataset)" sheetId="3" r:id="rId3"/>
    <sheet name="pivottable" sheetId="4" r:id="rId4"/>
  </sheets>
  <definedNames>
    <definedName name="ExternalData_1" localSheetId="0" hidden="1">'Day1'!$A$1:$C$28</definedName>
  </definedNames>
  <calcPr calcId="162913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F25" i="1"/>
  <c r="G24" i="1"/>
  <c r="F24" i="1"/>
  <c r="F23" i="1"/>
  <c r="G22" i="1"/>
  <c r="F22" i="1"/>
  <c r="H17" i="1"/>
  <c r="F17" i="1"/>
  <c r="H16" i="1"/>
  <c r="F16" i="1"/>
  <c r="H15" i="1"/>
  <c r="F15" i="1"/>
  <c r="H14" i="1"/>
  <c r="F14" i="1"/>
  <c r="H13" i="1"/>
  <c r="F13" i="1"/>
  <c r="H12" i="1"/>
  <c r="F12" i="1"/>
  <c r="F8" i="1"/>
  <c r="F7" i="1"/>
  <c r="F6" i="1"/>
  <c r="F5" i="1"/>
  <c r="F4" i="1"/>
</calcChain>
</file>

<file path=xl/connections.xml><?xml version="1.0" encoding="utf-8"?>
<connections xmlns="http://schemas.openxmlformats.org/spreadsheetml/2006/main">
  <connection id="1" keepAlive="1" name="Query - Query1" description="Connection to the 'Query1' query in the workbook." type="5" refreshedVersion="6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<sst xmlns="http://schemas.openxmlformats.org/spreadsheetml/2006/main" count="322" uniqueCount="123">
  <si>
    <t>Delivery Year</t>
  </si>
  <si>
    <t>Full Name</t>
  </si>
  <si>
    <t>value.2</t>
  </si>
  <si>
    <t>mr.a</t>
  </si>
  <si>
    <t>mrs.b</t>
  </si>
  <si>
    <t>mr.c</t>
  </si>
  <si>
    <t>mrs.d</t>
  </si>
  <si>
    <t>mr.e</t>
  </si>
  <si>
    <t>mrs.f</t>
  </si>
  <si>
    <t>mr.g</t>
  </si>
  <si>
    <t>mrs.h</t>
  </si>
  <si>
    <t>mr.i</t>
  </si>
  <si>
    <t xml:space="preserve">mr.j </t>
  </si>
  <si>
    <t>mrs.k</t>
  </si>
  <si>
    <t>mr.l</t>
  </si>
  <si>
    <t>mrs.m</t>
  </si>
  <si>
    <t>mr.n</t>
  </si>
  <si>
    <t>mrs.o</t>
  </si>
  <si>
    <t>mr.p</t>
  </si>
  <si>
    <t>mrs.q</t>
  </si>
  <si>
    <t>mr.r</t>
  </si>
  <si>
    <t>mr.s</t>
  </si>
  <si>
    <t>mrs.t</t>
  </si>
  <si>
    <t>mr.u</t>
  </si>
  <si>
    <t>mrs.s</t>
  </si>
  <si>
    <t>mr.t</t>
  </si>
  <si>
    <t>mrs.u</t>
  </si>
  <si>
    <t>Id</t>
  </si>
  <si>
    <t>Name</t>
  </si>
  <si>
    <t>Salutation</t>
  </si>
  <si>
    <t>order date</t>
  </si>
  <si>
    <t>Delivery date</t>
  </si>
  <si>
    <t>Narasimman</t>
  </si>
  <si>
    <t>Mr.</t>
  </si>
  <si>
    <t>(=CONCATENATE(B2,C2))</t>
  </si>
  <si>
    <t>(=CONCATENATE(C2,B2))</t>
  </si>
  <si>
    <t>Pvithra</t>
  </si>
  <si>
    <t>Miss.</t>
  </si>
  <si>
    <t>Roshini</t>
  </si>
  <si>
    <t>Suresh</t>
  </si>
  <si>
    <t>Rajan</t>
  </si>
  <si>
    <t>Ravikumar</t>
  </si>
  <si>
    <t>//only name and saluation required</t>
  </si>
  <si>
    <t>POWER   QUERY</t>
  </si>
  <si>
    <t xml:space="preserve">CONCATENATION </t>
  </si>
  <si>
    <t xml:space="preserve"> </t>
  </si>
  <si>
    <t>CONCATENATION</t>
  </si>
  <si>
    <t xml:space="preserve">VLOOKUP </t>
  </si>
  <si>
    <t>VLOOKUP (lookup_value, table_array, col_index_num, [range_lookup])</t>
  </si>
  <si>
    <t>Vlookup</t>
  </si>
  <si>
    <t>(=VLOOKUP(K22,A21:F26,6,FALSE))</t>
  </si>
  <si>
    <t>(=VLOOKUP(A26,A21:F26,2,FALSE))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</si>
  <si>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</si>
  <si>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</si>
  <si>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</si>
  <si>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</si>
  <si>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</si>
  <si>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</si>
  <si>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</si>
  <si>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</si>
  <si>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</si>
  <si>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</si>
  <si>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</si>
  <si>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Payment</t>
  </si>
  <si>
    <t>Time</t>
  </si>
  <si>
    <t>Gross Margin %</t>
  </si>
  <si>
    <t>Gross Income</t>
  </si>
  <si>
    <t>Rating</t>
  </si>
  <si>
    <t>538-90-7662</t>
  </si>
  <si>
    <t>C</t>
  </si>
  <si>
    <t>Naypyitaw</t>
  </si>
  <si>
    <t>Member</t>
  </si>
  <si>
    <t>Male</t>
  </si>
  <si>
    <t>Health and beauty</t>
  </si>
  <si>
    <t>Cash</t>
  </si>
  <si>
    <t>983-63-4027</t>
  </si>
  <si>
    <t>B</t>
  </si>
  <si>
    <t>Mandalay</t>
  </si>
  <si>
    <t>Female</t>
  </si>
  <si>
    <t>Credit card</t>
  </si>
  <si>
    <t>601-51-3197</t>
  </si>
  <si>
    <t>A</t>
  </si>
  <si>
    <t>Yangon</t>
  </si>
  <si>
    <t>Normal</t>
  </si>
  <si>
    <t>Electronic accessories</t>
  </si>
  <si>
    <t>895-79-8877</t>
  </si>
  <si>
    <t>322-40-3114</t>
  </si>
  <si>
    <t>Ewallet</t>
  </si>
  <si>
    <t>272-95-2253</t>
  </si>
  <si>
    <t>Sports and travel</t>
  </si>
  <si>
    <t>293-88-2159</t>
  </si>
  <si>
    <t>Home and lifestyle</t>
  </si>
  <si>
    <t>914-53-9937</t>
  </si>
  <si>
    <t>Fashion accessories</t>
  </si>
  <si>
    <t>831-34-3292</t>
  </si>
  <si>
    <t>785-48-6527</t>
  </si>
  <si>
    <t>366-46-5560</t>
  </si>
  <si>
    <t>855-33-7607</t>
  </si>
  <si>
    <t>419-61-6206</t>
  </si>
  <si>
    <t>439-11-4507</t>
  </si>
  <si>
    <t>Food and beverages</t>
  </si>
  <si>
    <t>981-73-9827</t>
  </si>
  <si>
    <t>931-66-7096</t>
  </si>
  <si>
    <t>677-45-1634</t>
  </si>
  <si>
    <t>876-67-6580</t>
  </si>
  <si>
    <t>487-36-7696</t>
  </si>
  <si>
    <t>269-85-2671</t>
  </si>
  <si>
    <t>156-73-6909</t>
  </si>
  <si>
    <t>106-66-9574</t>
  </si>
  <si>
    <t>703-42-3264</t>
  </si>
  <si>
    <t>665-52-7371</t>
  </si>
  <si>
    <t>443-58-7845</t>
  </si>
  <si>
    <t>Row Labels</t>
  </si>
  <si>
    <t>Grand Total</t>
  </si>
  <si>
    <t>Sum of Total</t>
  </si>
  <si>
    <t>Sum of Tax 5%</t>
  </si>
  <si>
    <t>Sum of Quantity</t>
  </si>
  <si>
    <t>Sum of Unit price</t>
  </si>
  <si>
    <t>Column Labels</t>
  </si>
  <si>
    <t>Total Sum of Total</t>
  </si>
  <si>
    <t>Total Sum of Tax 5%</t>
  </si>
  <si>
    <t>Total Sum of Quantity</t>
  </si>
  <si>
    <t>Total Sum of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</si>
</sst>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_ ;_ [$₹-4009]\ * \-#,##0_ ;_ [$₹-4009]\ * &quot;-&quot;??_ ;_ @_ "/>
  </numFmts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6.85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0" fontId="0" fillId="5" borderId="0" xfId="0" applyNumberFormat="1" applyFill="1"/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0" fontId="0" fillId="8" borderId="0" xfId="0" applyNumberFormat="1" applyFill="1"/>
  </cellXfs>
  <cellStyles count="1">
    <cellStyle name="Normal" xfId="0" builtinId="0"/>
  </cellStyles>
  <dxfs count="98">
    <dxf>
      <fill>
        <patternFill>
          <bgColor theme="5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164" formatCode="_ [$₹-4009]\ * #,##0_ ;_ [$₹-4009]\ * \-#,##0_ ;_ [$₹-4009]\ * &quot;-&quot;??_ ;_ @_ "/>
    </dxf>
    <dxf>
      <numFmt numFmtId="167" formatCode="_ [$₹-4009]\ * #,##0.0_ ;_ [$₹-4009]\ * \-#,##0.0_ ;_ [$₹-4009]\ * &quot;-&quot;??_ ;_ @_ "/>
    </dxf>
    <dxf>
      <numFmt numFmtId="166" formatCode="_ [$₹-4009]\ * #,##0.00_ ;_ [$₹-4009]\ * \-#,##0.00_ ;_ [$₹-4009]\ * &quot;-&quot;??_ ;_ @_ "/>
    </dxf>
    <dxf>
      <numFmt numFmtId="164" formatCode="_ [$₹-4009]\ * #,##0_ ;_ [$₹-4009]\ * \-#,##0_ ;_ [$₹-4009]\ * &quot;-&quot;??_ ;_ @_ "/>
    </dxf>
    <dxf>
      <numFmt numFmtId="167" formatCode="_ [$₹-4009]\ * #,##0.0_ ;_ [$₹-4009]\ * \-#,##0.0_ ;_ [$₹-4009]\ * &quot;-&quot;??_ ;_ @_ "/>
    </dxf>
    <dxf>
      <numFmt numFmtId="166" formatCode="_ [$₹-4009]\ * #,##0.00_ ;_ [$₹-4009]\ * \-#,##0.00_ ;_ [$₹-4009]\ * &quot;-&quot;??_ ;_ @_ "/>
    </dxf>
    <dxf>
      <numFmt numFmtId="1" formatCode="0"/>
    </dxf>
    <dxf>
      <numFmt numFmtId="165" formatCode="0.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2018</a:t>
            </a:r>
            <a:r>
              <a:rPr lang="en-US" baseline="0"/>
              <a:t> and 2019 data </a:t>
            </a:r>
            <a:endParaRPr lang="en-US"/>
          </a:p>
        </c:rich>
      </c:tx>
      <c:layout>
        <c:manualLayout>
          <c:xMode val="edge"/>
          <c:yMode val="edge"/>
          <c:x val="0.38235570154856874"/>
          <c:y val="2.2328548644338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'Day1'!$C$1</c:f>
              <c:strCache>
                <c:ptCount val="1"/>
                <c:pt idx="0">
                  <c:v>value.2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'Day1'!$A$2:$B$28</c:f>
              <c:multiLvlStrCache>
                <c:ptCount val="27"/>
                <c:lvl>
                  <c:pt idx="0">
                    <c:v>mr.a</c:v>
                  </c:pt>
                  <c:pt idx="1">
                    <c:v>mrs.b</c:v>
                  </c:pt>
                  <c:pt idx="2">
                    <c:v>mr.c</c:v>
                  </c:pt>
                  <c:pt idx="3">
                    <c:v>mrs.d</c:v>
                  </c:pt>
                  <c:pt idx="4">
                    <c:v>mr.e</c:v>
                  </c:pt>
                  <c:pt idx="5">
                    <c:v>mrs.f</c:v>
                  </c:pt>
                  <c:pt idx="6">
                    <c:v>mr.g</c:v>
                  </c:pt>
                  <c:pt idx="7">
                    <c:v>mrs.h</c:v>
                  </c:pt>
                  <c:pt idx="8">
                    <c:v>mr.i</c:v>
                  </c:pt>
                  <c:pt idx="9">
                    <c:v>mr.j </c:v>
                  </c:pt>
                  <c:pt idx="10">
                    <c:v>mrs.k</c:v>
                  </c:pt>
                  <c:pt idx="11">
                    <c:v>mr.l</c:v>
                  </c:pt>
                  <c:pt idx="12">
                    <c:v>mrs.m</c:v>
                  </c:pt>
                  <c:pt idx="13">
                    <c:v>mr.n</c:v>
                  </c:pt>
                  <c:pt idx="14">
                    <c:v>mrs.o</c:v>
                  </c:pt>
                  <c:pt idx="15">
                    <c:v>mr.p</c:v>
                  </c:pt>
                  <c:pt idx="16">
                    <c:v>mrs.q</c:v>
                  </c:pt>
                  <c:pt idx="17">
                    <c:v>mr.r</c:v>
                  </c:pt>
                  <c:pt idx="18">
                    <c:v>mr.s</c:v>
                  </c:pt>
                  <c:pt idx="19">
                    <c:v>mrs.t</c:v>
                  </c:pt>
                  <c:pt idx="20">
                    <c:v>mr.u</c:v>
                  </c:pt>
                  <c:pt idx="21">
                    <c:v>mrs.s</c:v>
                  </c:pt>
                  <c:pt idx="22">
                    <c:v>mr.t</c:v>
                  </c:pt>
                  <c:pt idx="23">
                    <c:v>mrs.u</c:v>
                  </c:pt>
                  <c:pt idx="24">
                    <c:v>mr.s</c:v>
                  </c:pt>
                  <c:pt idx="25">
                    <c:v>mrs.t</c:v>
                  </c:pt>
                  <c:pt idx="26">
                    <c:v>mr.u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2018</c:v>
                  </c:pt>
                  <c:pt idx="5">
                    <c:v>2018</c:v>
                  </c:pt>
                  <c:pt idx="6">
                    <c:v>2018</c:v>
                  </c:pt>
                  <c:pt idx="7">
                    <c:v>2018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2019</c:v>
                  </c:pt>
                  <c:pt idx="12">
                    <c:v>2019</c:v>
                  </c:pt>
                  <c:pt idx="13">
                    <c:v>2019</c:v>
                  </c:pt>
                  <c:pt idx="14">
                    <c:v>2019</c:v>
                  </c:pt>
                  <c:pt idx="15">
                    <c:v>2019</c:v>
                  </c:pt>
                  <c:pt idx="16">
                    <c:v>2019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2020</c:v>
                  </c:pt>
                  <c:pt idx="24">
                    <c:v>2020</c:v>
                  </c:pt>
                  <c:pt idx="25">
                    <c:v>2020</c:v>
                  </c:pt>
                  <c:pt idx="26">
                    <c:v>2020</c:v>
                  </c:pt>
                </c:lvl>
              </c:multiLvlStrCache>
            </c:multiLvlStrRef>
          </c:cat>
          <c:val>
            <c:numRef>
              <c:f>'Day1'!$C$2:$C$28</c:f>
              <c:numCache>
                <c:formatCode>General</c:formatCode>
                <c:ptCount val="2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2000</c:v>
                </c:pt>
                <c:pt idx="19">
                  <c:v>2200</c:v>
                </c:pt>
                <c:pt idx="20">
                  <c:v>2400</c:v>
                </c:pt>
                <c:pt idx="21">
                  <c:v>2600</c:v>
                </c:pt>
                <c:pt idx="22">
                  <c:v>2800</c:v>
                </c:pt>
                <c:pt idx="23">
                  <c:v>3000</c:v>
                </c:pt>
                <c:pt idx="24">
                  <c:v>3200</c:v>
                </c:pt>
                <c:pt idx="25">
                  <c:v>3400</c:v>
                </c:pt>
                <c:pt idx="26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B-47CE-9D89-307B724409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68356576"/>
        <c:axId val="1368358656"/>
      </c:barChart>
      <c:catAx>
        <c:axId val="136835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358656"/>
        <c:crosses val="autoZero"/>
        <c:auto val="1"/>
        <c:lblAlgn val="ctr"/>
        <c:lblOffset val="100"/>
        <c:noMultiLvlLbl val="0"/>
      </c:catAx>
      <c:valAx>
        <c:axId val="13683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356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[Data-Analytics 30days programs.xlsx]pivottable!PivotTable1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pivottable!$B$3:$B$5</c:f>
              <c:strCache>
                <c:ptCount val="1"/>
                <c:pt idx="0">
                  <c:v>Sum of Total - 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pivottable!$A$6:$A$25</c:f>
              <c:multiLvlStrCache>
                <c:ptCount val="13"/>
                <c:lvl>
                  <c:pt idx="0">
                    <c:v>Mandalay</c:v>
                  </c:pt>
                  <c:pt idx="1">
                    <c:v>Yangon</c:v>
                  </c:pt>
                  <c:pt idx="2">
                    <c:v>Mandalay</c:v>
                  </c:pt>
                  <c:pt idx="3">
                    <c:v>Naypyitaw</c:v>
                  </c:pt>
                  <c:pt idx="4">
                    <c:v>Mandalay</c:v>
                  </c:pt>
                  <c:pt idx="5">
                    <c:v>Naypyitaw</c:v>
                  </c:pt>
                  <c:pt idx="6">
                    <c:v>Yangon</c:v>
                  </c:pt>
                  <c:pt idx="7">
                    <c:v>Mandalay</c:v>
                  </c:pt>
                  <c:pt idx="8">
                    <c:v>Naypyitaw</c:v>
                  </c:pt>
                  <c:pt idx="9">
                    <c:v>Mandalay</c:v>
                  </c:pt>
                  <c:pt idx="10">
                    <c:v>Mandalay</c:v>
                  </c:pt>
                  <c:pt idx="11">
                    <c:v>Naypyitaw</c:v>
                  </c:pt>
                  <c:pt idx="12">
                    <c:v>Yangon</c:v>
                  </c:pt>
                </c:lvl>
                <c:lvl>
                  <c:pt idx="0">
                    <c:v>Electronic accessories</c:v>
                  </c:pt>
                  <c:pt idx="2">
                    <c:v>Fashion accessories</c:v>
                  </c:pt>
                  <c:pt idx="4">
                    <c:v>Food and beverages</c:v>
                  </c:pt>
                  <c:pt idx="7">
                    <c:v>Health and beauty</c:v>
                  </c:pt>
                  <c:pt idx="9">
                    <c:v>Home and lifestyle</c:v>
                  </c:pt>
                  <c:pt idx="10">
                    <c:v>Sports and travel</c:v>
                  </c:pt>
                </c:lvl>
              </c:multiLvlStrCache>
            </c:multiLvlStrRef>
          </c:cat>
          <c:val>
            <c:numRef>
              <c:f>pivottable!$B$6:$B$25</c:f>
              <c:numCache>
                <c:formatCode>_ [$₹-4009]\ * #,##0_ ;_ [$₹-4009]\ * \-#,##0_ ;_ [$₹-4009]\ * "-"??_ ;_ @_ </c:formatCode>
                <c:ptCount val="13"/>
                <c:pt idx="0">
                  <c:v>36.82</c:v>
                </c:pt>
                <c:pt idx="1">
                  <c:v>826.92</c:v>
                </c:pt>
                <c:pt idx="2">
                  <c:v>454.45</c:v>
                </c:pt>
                <c:pt idx="3">
                  <c:v>190.73</c:v>
                </c:pt>
                <c:pt idx="5">
                  <c:v>840.96</c:v>
                </c:pt>
                <c:pt idx="6">
                  <c:v>607.64</c:v>
                </c:pt>
                <c:pt idx="7">
                  <c:v>983.09</c:v>
                </c:pt>
                <c:pt idx="8">
                  <c:v>584.54999999999995</c:v>
                </c:pt>
                <c:pt idx="9">
                  <c:v>1000.86</c:v>
                </c:pt>
                <c:pt idx="11">
                  <c:v>309.93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F-4012-BFB8-D06C3ABD999F}"/>
            </c:ext>
          </c:extLst>
        </c:ser>
        <c:ser>
          <c:idx val="1"/>
          <c:order val="1"/>
          <c:tx>
            <c:strRef>
              <c:f>pivottable!$C$3:$C$5</c:f>
              <c:strCache>
                <c:ptCount val="1"/>
                <c:pt idx="0">
                  <c:v>Sum of Total - 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pivottable!$A$6:$A$25</c:f>
              <c:multiLvlStrCache>
                <c:ptCount val="13"/>
                <c:lvl>
                  <c:pt idx="0">
                    <c:v>Mandalay</c:v>
                  </c:pt>
                  <c:pt idx="1">
                    <c:v>Yangon</c:v>
                  </c:pt>
                  <c:pt idx="2">
                    <c:v>Mandalay</c:v>
                  </c:pt>
                  <c:pt idx="3">
                    <c:v>Naypyitaw</c:v>
                  </c:pt>
                  <c:pt idx="4">
                    <c:v>Mandalay</c:v>
                  </c:pt>
                  <c:pt idx="5">
                    <c:v>Naypyitaw</c:v>
                  </c:pt>
                  <c:pt idx="6">
                    <c:v>Yangon</c:v>
                  </c:pt>
                  <c:pt idx="7">
                    <c:v>Mandalay</c:v>
                  </c:pt>
                  <c:pt idx="8">
                    <c:v>Naypyitaw</c:v>
                  </c:pt>
                  <c:pt idx="9">
                    <c:v>Mandalay</c:v>
                  </c:pt>
                  <c:pt idx="10">
                    <c:v>Mandalay</c:v>
                  </c:pt>
                  <c:pt idx="11">
                    <c:v>Naypyitaw</c:v>
                  </c:pt>
                  <c:pt idx="12">
                    <c:v>Yangon</c:v>
                  </c:pt>
                </c:lvl>
                <c:lvl>
                  <c:pt idx="0">
                    <c:v>Electronic accessories</c:v>
                  </c:pt>
                  <c:pt idx="2">
                    <c:v>Fashion accessories</c:v>
                  </c:pt>
                  <c:pt idx="4">
                    <c:v>Food and beverages</c:v>
                  </c:pt>
                  <c:pt idx="7">
                    <c:v>Health and beauty</c:v>
                  </c:pt>
                  <c:pt idx="9">
                    <c:v>Home and lifestyle</c:v>
                  </c:pt>
                  <c:pt idx="10">
                    <c:v>Sports and travel</c:v>
                  </c:pt>
                </c:lvl>
              </c:multiLvlStrCache>
            </c:multiLvlStrRef>
          </c:cat>
          <c:val>
            <c:numRef>
              <c:f>pivottable!$C$6:$C$25</c:f>
              <c:numCache>
                <c:formatCode>_ [$₹-4009]\ * #,##0_ ;_ [$₹-4009]\ * \-#,##0_ ;_ [$₹-4009]\ * "-"??_ ;_ @_ </c:formatCode>
                <c:ptCount val="13"/>
                <c:pt idx="1">
                  <c:v>464.86</c:v>
                </c:pt>
                <c:pt idx="4">
                  <c:v>193.88</c:v>
                </c:pt>
                <c:pt idx="5">
                  <c:v>536.65</c:v>
                </c:pt>
                <c:pt idx="6">
                  <c:v>35.85</c:v>
                </c:pt>
                <c:pt idx="8">
                  <c:v>732.94</c:v>
                </c:pt>
                <c:pt idx="10">
                  <c:v>712.87</c:v>
                </c:pt>
                <c:pt idx="12">
                  <c:v>606.41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F-4012-BFB8-D06C3ABD999F}"/>
            </c:ext>
          </c:extLst>
        </c:ser>
        <c:ser>
          <c:idx val="2"/>
          <c:order val="2"/>
          <c:tx>
            <c:strRef>
              <c:f>pivottable!$D$3:$D$5</c:f>
              <c:strCache>
                <c:ptCount val="1"/>
                <c:pt idx="0">
                  <c:v>Sum of Tax 5% - Female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pivottable!$A$6:$A$25</c:f>
              <c:multiLvlStrCache>
                <c:ptCount val="13"/>
                <c:lvl>
                  <c:pt idx="0">
                    <c:v>Mandalay</c:v>
                  </c:pt>
                  <c:pt idx="1">
                    <c:v>Yangon</c:v>
                  </c:pt>
                  <c:pt idx="2">
                    <c:v>Mandalay</c:v>
                  </c:pt>
                  <c:pt idx="3">
                    <c:v>Naypyitaw</c:v>
                  </c:pt>
                  <c:pt idx="4">
                    <c:v>Mandalay</c:v>
                  </c:pt>
                  <c:pt idx="5">
                    <c:v>Naypyitaw</c:v>
                  </c:pt>
                  <c:pt idx="6">
                    <c:v>Yangon</c:v>
                  </c:pt>
                  <c:pt idx="7">
                    <c:v>Mandalay</c:v>
                  </c:pt>
                  <c:pt idx="8">
                    <c:v>Naypyitaw</c:v>
                  </c:pt>
                  <c:pt idx="9">
                    <c:v>Mandalay</c:v>
                  </c:pt>
                  <c:pt idx="10">
                    <c:v>Mandalay</c:v>
                  </c:pt>
                  <c:pt idx="11">
                    <c:v>Naypyitaw</c:v>
                  </c:pt>
                  <c:pt idx="12">
                    <c:v>Yangon</c:v>
                  </c:pt>
                </c:lvl>
                <c:lvl>
                  <c:pt idx="0">
                    <c:v>Electronic accessories</c:v>
                  </c:pt>
                  <c:pt idx="2">
                    <c:v>Fashion accessories</c:v>
                  </c:pt>
                  <c:pt idx="4">
                    <c:v>Food and beverages</c:v>
                  </c:pt>
                  <c:pt idx="7">
                    <c:v>Health and beauty</c:v>
                  </c:pt>
                  <c:pt idx="9">
                    <c:v>Home and lifestyle</c:v>
                  </c:pt>
                  <c:pt idx="10">
                    <c:v>Sports and travel</c:v>
                  </c:pt>
                </c:lvl>
              </c:multiLvlStrCache>
            </c:multiLvlStrRef>
          </c:cat>
          <c:val>
            <c:numRef>
              <c:f>pivottable!$D$6:$D$25</c:f>
              <c:numCache>
                <c:formatCode>_ [$₹-4009]\ * #,##0_ ;_ [$₹-4009]\ * \-#,##0_ ;_ [$₹-4009]\ * "-"??_ ;_ @_ </c:formatCode>
                <c:ptCount val="13"/>
                <c:pt idx="0">
                  <c:v>1.75</c:v>
                </c:pt>
                <c:pt idx="1">
                  <c:v>39.379999999999995</c:v>
                </c:pt>
                <c:pt idx="2">
                  <c:v>21.64</c:v>
                </c:pt>
                <c:pt idx="3">
                  <c:v>9.08</c:v>
                </c:pt>
                <c:pt idx="5">
                  <c:v>40.049999999999997</c:v>
                </c:pt>
                <c:pt idx="6">
                  <c:v>28.94</c:v>
                </c:pt>
                <c:pt idx="7">
                  <c:v>46.82</c:v>
                </c:pt>
                <c:pt idx="8">
                  <c:v>27.84</c:v>
                </c:pt>
                <c:pt idx="9">
                  <c:v>47.66</c:v>
                </c:pt>
                <c:pt idx="11">
                  <c:v>14.76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4F-4012-BFB8-D06C3ABD999F}"/>
            </c:ext>
          </c:extLst>
        </c:ser>
        <c:ser>
          <c:idx val="3"/>
          <c:order val="3"/>
          <c:tx>
            <c:strRef>
              <c:f>pivottable!$E$3:$E$5</c:f>
              <c:strCache>
                <c:ptCount val="1"/>
                <c:pt idx="0">
                  <c:v>Sum of Tax 5% - Male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pivottable!$A$6:$A$25</c:f>
              <c:multiLvlStrCache>
                <c:ptCount val="13"/>
                <c:lvl>
                  <c:pt idx="0">
                    <c:v>Mandalay</c:v>
                  </c:pt>
                  <c:pt idx="1">
                    <c:v>Yangon</c:v>
                  </c:pt>
                  <c:pt idx="2">
                    <c:v>Mandalay</c:v>
                  </c:pt>
                  <c:pt idx="3">
                    <c:v>Naypyitaw</c:v>
                  </c:pt>
                  <c:pt idx="4">
                    <c:v>Mandalay</c:v>
                  </c:pt>
                  <c:pt idx="5">
                    <c:v>Naypyitaw</c:v>
                  </c:pt>
                  <c:pt idx="6">
                    <c:v>Yangon</c:v>
                  </c:pt>
                  <c:pt idx="7">
                    <c:v>Mandalay</c:v>
                  </c:pt>
                  <c:pt idx="8">
                    <c:v>Naypyitaw</c:v>
                  </c:pt>
                  <c:pt idx="9">
                    <c:v>Mandalay</c:v>
                  </c:pt>
                  <c:pt idx="10">
                    <c:v>Mandalay</c:v>
                  </c:pt>
                  <c:pt idx="11">
                    <c:v>Naypyitaw</c:v>
                  </c:pt>
                  <c:pt idx="12">
                    <c:v>Yangon</c:v>
                  </c:pt>
                </c:lvl>
                <c:lvl>
                  <c:pt idx="0">
                    <c:v>Electronic accessories</c:v>
                  </c:pt>
                  <c:pt idx="2">
                    <c:v>Fashion accessories</c:v>
                  </c:pt>
                  <c:pt idx="4">
                    <c:v>Food and beverages</c:v>
                  </c:pt>
                  <c:pt idx="7">
                    <c:v>Health and beauty</c:v>
                  </c:pt>
                  <c:pt idx="9">
                    <c:v>Home and lifestyle</c:v>
                  </c:pt>
                  <c:pt idx="10">
                    <c:v>Sports and travel</c:v>
                  </c:pt>
                </c:lvl>
              </c:multiLvlStrCache>
            </c:multiLvlStrRef>
          </c:cat>
          <c:val>
            <c:numRef>
              <c:f>pivottable!$E$6:$E$25</c:f>
              <c:numCache>
                <c:formatCode>_ [$₹-4009]\ * #,##0_ ;_ [$₹-4009]\ * \-#,##0_ ;_ [$₹-4009]\ * "-"??_ ;_ @_ </c:formatCode>
                <c:ptCount val="13"/>
                <c:pt idx="1">
                  <c:v>22.13</c:v>
                </c:pt>
                <c:pt idx="4">
                  <c:v>9.23</c:v>
                </c:pt>
                <c:pt idx="5">
                  <c:v>25.549999999999997</c:v>
                </c:pt>
                <c:pt idx="6">
                  <c:v>1.71</c:v>
                </c:pt>
                <c:pt idx="8">
                  <c:v>34.9</c:v>
                </c:pt>
                <c:pt idx="10">
                  <c:v>33.950000000000003</c:v>
                </c:pt>
                <c:pt idx="12">
                  <c:v>28.88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4F-4012-BFB8-D06C3ABD999F}"/>
            </c:ext>
          </c:extLst>
        </c:ser>
        <c:ser>
          <c:idx val="4"/>
          <c:order val="4"/>
          <c:tx>
            <c:strRef>
              <c:f>pivottable!$F$3:$F$5</c:f>
              <c:strCache>
                <c:ptCount val="1"/>
                <c:pt idx="0">
                  <c:v>Sum of Quantity - Female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pivottable!$A$6:$A$25</c:f>
              <c:multiLvlStrCache>
                <c:ptCount val="13"/>
                <c:lvl>
                  <c:pt idx="0">
                    <c:v>Mandalay</c:v>
                  </c:pt>
                  <c:pt idx="1">
                    <c:v>Yangon</c:v>
                  </c:pt>
                  <c:pt idx="2">
                    <c:v>Mandalay</c:v>
                  </c:pt>
                  <c:pt idx="3">
                    <c:v>Naypyitaw</c:v>
                  </c:pt>
                  <c:pt idx="4">
                    <c:v>Mandalay</c:v>
                  </c:pt>
                  <c:pt idx="5">
                    <c:v>Naypyitaw</c:v>
                  </c:pt>
                  <c:pt idx="6">
                    <c:v>Yangon</c:v>
                  </c:pt>
                  <c:pt idx="7">
                    <c:v>Mandalay</c:v>
                  </c:pt>
                  <c:pt idx="8">
                    <c:v>Naypyitaw</c:v>
                  </c:pt>
                  <c:pt idx="9">
                    <c:v>Mandalay</c:v>
                  </c:pt>
                  <c:pt idx="10">
                    <c:v>Mandalay</c:v>
                  </c:pt>
                  <c:pt idx="11">
                    <c:v>Naypyitaw</c:v>
                  </c:pt>
                  <c:pt idx="12">
                    <c:v>Yangon</c:v>
                  </c:pt>
                </c:lvl>
                <c:lvl>
                  <c:pt idx="0">
                    <c:v>Electronic accessories</c:v>
                  </c:pt>
                  <c:pt idx="2">
                    <c:v>Fashion accessories</c:v>
                  </c:pt>
                  <c:pt idx="4">
                    <c:v>Food and beverages</c:v>
                  </c:pt>
                  <c:pt idx="7">
                    <c:v>Health and beauty</c:v>
                  </c:pt>
                  <c:pt idx="9">
                    <c:v>Home and lifestyle</c:v>
                  </c:pt>
                  <c:pt idx="10">
                    <c:v>Sports and travel</c:v>
                  </c:pt>
                </c:lvl>
              </c:multiLvlStrCache>
            </c:multiLvlStrRef>
          </c:cat>
          <c:val>
            <c:numRef>
              <c:f>pivottable!$F$6:$F$25</c:f>
              <c:numCache>
                <c:formatCode>General</c:formatCode>
                <c:ptCount val="13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15</c:v>
                </c:pt>
                <c:pt idx="8">
                  <c:v>7</c:v>
                </c:pt>
                <c:pt idx="9">
                  <c:v>10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4F-4012-BFB8-D06C3ABD999F}"/>
            </c:ext>
          </c:extLst>
        </c:ser>
        <c:ser>
          <c:idx val="5"/>
          <c:order val="5"/>
          <c:tx>
            <c:strRef>
              <c:f>pivottable!$G$3:$G$5</c:f>
              <c:strCache>
                <c:ptCount val="1"/>
                <c:pt idx="0">
                  <c:v>Sum of Quantity - Male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pivottable!$A$6:$A$25</c:f>
              <c:multiLvlStrCache>
                <c:ptCount val="13"/>
                <c:lvl>
                  <c:pt idx="0">
                    <c:v>Mandalay</c:v>
                  </c:pt>
                  <c:pt idx="1">
                    <c:v>Yangon</c:v>
                  </c:pt>
                  <c:pt idx="2">
                    <c:v>Mandalay</c:v>
                  </c:pt>
                  <c:pt idx="3">
                    <c:v>Naypyitaw</c:v>
                  </c:pt>
                  <c:pt idx="4">
                    <c:v>Mandalay</c:v>
                  </c:pt>
                  <c:pt idx="5">
                    <c:v>Naypyitaw</c:v>
                  </c:pt>
                  <c:pt idx="6">
                    <c:v>Yangon</c:v>
                  </c:pt>
                  <c:pt idx="7">
                    <c:v>Mandalay</c:v>
                  </c:pt>
                  <c:pt idx="8">
                    <c:v>Naypyitaw</c:v>
                  </c:pt>
                  <c:pt idx="9">
                    <c:v>Mandalay</c:v>
                  </c:pt>
                  <c:pt idx="10">
                    <c:v>Mandalay</c:v>
                  </c:pt>
                  <c:pt idx="11">
                    <c:v>Naypyitaw</c:v>
                  </c:pt>
                  <c:pt idx="12">
                    <c:v>Yangon</c:v>
                  </c:pt>
                </c:lvl>
                <c:lvl>
                  <c:pt idx="0">
                    <c:v>Electronic accessories</c:v>
                  </c:pt>
                  <c:pt idx="2">
                    <c:v>Fashion accessories</c:v>
                  </c:pt>
                  <c:pt idx="4">
                    <c:v>Food and beverages</c:v>
                  </c:pt>
                  <c:pt idx="7">
                    <c:v>Health and beauty</c:v>
                  </c:pt>
                  <c:pt idx="9">
                    <c:v>Home and lifestyle</c:v>
                  </c:pt>
                  <c:pt idx="10">
                    <c:v>Sports and travel</c:v>
                  </c:pt>
                </c:lvl>
              </c:multiLvlStrCache>
            </c:multiLvlStrRef>
          </c:cat>
          <c:val>
            <c:numRef>
              <c:f>pivottable!$G$6:$G$25</c:f>
              <c:numCache>
                <c:formatCode>General</c:formatCode>
                <c:ptCount val="13"/>
                <c:pt idx="1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1</c:v>
                </c:pt>
                <c:pt idx="8">
                  <c:v>14</c:v>
                </c:pt>
                <c:pt idx="10">
                  <c:v>8</c:v>
                </c:pt>
                <c:pt idx="1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4F-4012-BFB8-D06C3ABD999F}"/>
            </c:ext>
          </c:extLst>
        </c:ser>
        <c:ser>
          <c:idx val="6"/>
          <c:order val="6"/>
          <c:tx>
            <c:strRef>
              <c:f>pivottable!$H$3:$H$5</c:f>
              <c:strCache>
                <c:ptCount val="1"/>
                <c:pt idx="0">
                  <c:v>Sum of Unit price - 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pivottable!$A$6:$A$25</c:f>
              <c:multiLvlStrCache>
                <c:ptCount val="13"/>
                <c:lvl>
                  <c:pt idx="0">
                    <c:v>Mandalay</c:v>
                  </c:pt>
                  <c:pt idx="1">
                    <c:v>Yangon</c:v>
                  </c:pt>
                  <c:pt idx="2">
                    <c:v>Mandalay</c:v>
                  </c:pt>
                  <c:pt idx="3">
                    <c:v>Naypyitaw</c:v>
                  </c:pt>
                  <c:pt idx="4">
                    <c:v>Mandalay</c:v>
                  </c:pt>
                  <c:pt idx="5">
                    <c:v>Naypyitaw</c:v>
                  </c:pt>
                  <c:pt idx="6">
                    <c:v>Yangon</c:v>
                  </c:pt>
                  <c:pt idx="7">
                    <c:v>Mandalay</c:v>
                  </c:pt>
                  <c:pt idx="8">
                    <c:v>Naypyitaw</c:v>
                  </c:pt>
                  <c:pt idx="9">
                    <c:v>Mandalay</c:v>
                  </c:pt>
                  <c:pt idx="10">
                    <c:v>Mandalay</c:v>
                  </c:pt>
                  <c:pt idx="11">
                    <c:v>Naypyitaw</c:v>
                  </c:pt>
                  <c:pt idx="12">
                    <c:v>Yangon</c:v>
                  </c:pt>
                </c:lvl>
                <c:lvl>
                  <c:pt idx="0">
                    <c:v>Electronic accessories</c:v>
                  </c:pt>
                  <c:pt idx="2">
                    <c:v>Fashion accessories</c:v>
                  </c:pt>
                  <c:pt idx="4">
                    <c:v>Food and beverages</c:v>
                  </c:pt>
                  <c:pt idx="7">
                    <c:v>Health and beauty</c:v>
                  </c:pt>
                  <c:pt idx="9">
                    <c:v>Home and lifestyle</c:v>
                  </c:pt>
                  <c:pt idx="10">
                    <c:v>Sports and travel</c:v>
                  </c:pt>
                </c:lvl>
              </c:multiLvlStrCache>
            </c:multiLvlStrRef>
          </c:cat>
          <c:val>
            <c:numRef>
              <c:f>pivottable!$H$6:$H$25</c:f>
              <c:numCache>
                <c:formatCode>_ [$₹-4009]\ * #,##0_ ;_ [$₹-4009]\ * \-#,##0_ ;_ [$₹-4009]\ * "-"??_ ;_ @_ </c:formatCode>
                <c:ptCount val="13"/>
                <c:pt idx="0">
                  <c:v>11.69</c:v>
                </c:pt>
                <c:pt idx="1">
                  <c:v>244.01</c:v>
                </c:pt>
                <c:pt idx="2">
                  <c:v>48.09</c:v>
                </c:pt>
                <c:pt idx="3">
                  <c:v>36.33</c:v>
                </c:pt>
                <c:pt idx="5">
                  <c:v>88.99</c:v>
                </c:pt>
                <c:pt idx="6">
                  <c:v>96.45</c:v>
                </c:pt>
                <c:pt idx="7">
                  <c:v>120.96000000000001</c:v>
                </c:pt>
                <c:pt idx="8">
                  <c:v>79.53</c:v>
                </c:pt>
                <c:pt idx="9">
                  <c:v>95.32</c:v>
                </c:pt>
                <c:pt idx="11">
                  <c:v>98.39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4F-4012-BFB8-D06C3ABD999F}"/>
            </c:ext>
          </c:extLst>
        </c:ser>
        <c:ser>
          <c:idx val="7"/>
          <c:order val="7"/>
          <c:tx>
            <c:strRef>
              <c:f>pivottable!$I$3:$I$5</c:f>
              <c:strCache>
                <c:ptCount val="1"/>
                <c:pt idx="0">
                  <c:v>Sum of Unit price - 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pivottable!$A$6:$A$25</c:f>
              <c:multiLvlStrCache>
                <c:ptCount val="13"/>
                <c:lvl>
                  <c:pt idx="0">
                    <c:v>Mandalay</c:v>
                  </c:pt>
                  <c:pt idx="1">
                    <c:v>Yangon</c:v>
                  </c:pt>
                  <c:pt idx="2">
                    <c:v>Mandalay</c:v>
                  </c:pt>
                  <c:pt idx="3">
                    <c:v>Naypyitaw</c:v>
                  </c:pt>
                  <c:pt idx="4">
                    <c:v>Mandalay</c:v>
                  </c:pt>
                  <c:pt idx="5">
                    <c:v>Naypyitaw</c:v>
                  </c:pt>
                  <c:pt idx="6">
                    <c:v>Yangon</c:v>
                  </c:pt>
                  <c:pt idx="7">
                    <c:v>Mandalay</c:v>
                  </c:pt>
                  <c:pt idx="8">
                    <c:v>Naypyitaw</c:v>
                  </c:pt>
                  <c:pt idx="9">
                    <c:v>Mandalay</c:v>
                  </c:pt>
                  <c:pt idx="10">
                    <c:v>Mandalay</c:v>
                  </c:pt>
                  <c:pt idx="11">
                    <c:v>Naypyitaw</c:v>
                  </c:pt>
                  <c:pt idx="12">
                    <c:v>Yangon</c:v>
                  </c:pt>
                </c:lvl>
                <c:lvl>
                  <c:pt idx="0">
                    <c:v>Electronic accessories</c:v>
                  </c:pt>
                  <c:pt idx="2">
                    <c:v>Fashion accessories</c:v>
                  </c:pt>
                  <c:pt idx="4">
                    <c:v>Food and beverages</c:v>
                  </c:pt>
                  <c:pt idx="7">
                    <c:v>Health and beauty</c:v>
                  </c:pt>
                  <c:pt idx="9">
                    <c:v>Home and lifestyle</c:v>
                  </c:pt>
                  <c:pt idx="10">
                    <c:v>Sports and travel</c:v>
                  </c:pt>
                </c:lvl>
              </c:multiLvlStrCache>
            </c:multiLvlStrRef>
          </c:cat>
          <c:val>
            <c:numRef>
              <c:f>pivottable!$I$6:$I$25</c:f>
              <c:numCache>
                <c:formatCode>_ [$₹-4009]\ * #,##0_ ;_ [$₹-4009]\ * \-#,##0_ ;_ [$₹-4009]\ * "-"??_ ;_ @_ </c:formatCode>
                <c:ptCount val="13"/>
                <c:pt idx="1">
                  <c:v>147.49</c:v>
                </c:pt>
                <c:pt idx="4">
                  <c:v>36.93</c:v>
                </c:pt>
                <c:pt idx="5">
                  <c:v>124.66999999999999</c:v>
                </c:pt>
                <c:pt idx="6">
                  <c:v>34.14</c:v>
                </c:pt>
                <c:pt idx="8">
                  <c:v>151.91</c:v>
                </c:pt>
                <c:pt idx="10">
                  <c:v>169.73000000000002</c:v>
                </c:pt>
                <c:pt idx="12">
                  <c:v>64.17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4F-4012-BFB8-D06C3ABD9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2836463"/>
        <c:axId val="2062835631"/>
      </c:barChart>
      <c:catAx>
        <c:axId val="206283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35631"/>
        <c:crosses val="autoZero"/>
        <c:auto val="1"/>
        <c:lblAlgn val="ctr"/>
        <c:lblOffset val="100"/>
        <c:noMultiLvlLbl val="0"/>
      </c:catAx>
      <c:valAx>
        <c:axId val="206283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3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529590</xdr:colOff>
      <xdr:row>6</xdr:row>
      <xdr:rowOff>0</xdr:rowOff>
    </xdr:from>
    <xdr:to>
      <xdr:col>17</xdr:col>
      <xdr:colOff>259080</xdr:colOff>
      <xdr:row>27</xdr:row>
      <xdr:rowOff>140970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27</xdr:row>
      <xdr:rowOff>167096</xdr:rowOff>
    </xdr:from>
    <xdr:to>
      <xdr:col>12</xdr:col>
      <xdr:colOff>1338943</xdr:colOff>
      <xdr:row>60</xdr:row>
      <xdr:rowOff>141514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74.873062615741" createdVersion="6" refreshedVersion="6" minRefreshableVersion="3" recordCount="25">
  <cacheSource type="worksheet">
    <worksheetSource ref="A1:P26" sheet="D2(dataset)"/>
  </cacheSource>
  <cacheFields count="16">
    <cacheField name="Invoice ID" numFmtId="0">
      <sharedItems/>
    </cacheField>
    <cacheField name="Branch" numFmtId="0">
      <sharedItems/>
    </cacheField>
    <cacheField name="City" numFmtId="0">
      <sharedItems count="3">
        <s v="Naypyitaw"/>
        <s v="Mandalay"/>
        <s v="Yangon"/>
      </sharedItems>
    </cacheField>
    <cacheField name="Customer type" numFmtId="0">
      <sharedItems/>
    </cacheField>
    <cacheField name="Gender" numFmtId="0">
      <sharedItems count="2">
        <s v="Male"/>
        <s v="Female"/>
      </sharedItems>
    </cacheField>
    <cacheField name="Product line" numFmtId="0">
      <sharedItems count="6">
        <s v="Health and beauty"/>
        <s v="Electronic accessories"/>
        <s v="Sports and travel"/>
        <s v="Home and lifestyle"/>
        <s v="Fashion accessories"/>
        <s v="Food and beverages"/>
      </sharedItems>
    </cacheField>
    <cacheField name="Unit price" numFmtId="0">
      <sharedItems containsSemiMixedTypes="0" containsString="0" containsNumber="1" minValue="11.69" maxValue="98.39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1.71" maxValue="47.66"/>
    </cacheField>
    <cacheField name="Total" numFmtId="0">
      <sharedItems containsSemiMixedTypes="0" containsString="0" containsNumber="1" minValue="35.85" maxValue="1000.86" count="25">
        <n v="175.04"/>
        <n v="663.11"/>
        <n v="94.19"/>
        <n v="584.54999999999995"/>
        <n v="125.43"/>
        <n v="606.41"/>
        <n v="1000.86"/>
        <n v="454.45"/>
        <n v="309.58"/>
        <n v="77.36"/>
        <n v="315.13"/>
        <n v="423.15"/>
        <n v="397.74"/>
        <n v="124.38"/>
        <n v="387.5"/>
        <n v="432.47"/>
        <n v="190.73"/>
        <n v="36.82"/>
        <n v="840.96"/>
        <n v="607.64"/>
        <n v="412.27"/>
        <n v="35.85"/>
        <n v="309.93"/>
        <n v="193.88"/>
        <n v="319.98"/>
      </sharedItems>
    </cacheField>
    <cacheField name="Date" numFmtId="14">
      <sharedItems containsSemiMixedTypes="0" containsNonDate="0" containsDate="1" containsString="0" minDate="2019-01-12T00:00:00" maxDate="2019-12-16T00:00:00"/>
    </cacheField>
    <cacheField name="Payment" numFmtId="0">
      <sharedItems/>
    </cacheField>
    <cacheField name="Time" numFmtId="20">
      <sharedItems containsSemiMixedTypes="0" containsNonDate="0" containsDate="1" containsString="0" minDate="1899-12-30T11:27:00" maxDate="1899-12-30T20:47:00"/>
    </cacheField>
    <cacheField name="Gross Margin %" numFmtId="0">
      <sharedItems containsSemiMixedTypes="0" containsString="0" containsNumber="1" minValue="4.76" maxValue="4.76"/>
    </cacheField>
    <cacheField name="Gross Income" numFmtId="0">
      <sharedItems containsSemiMixedTypes="0" containsString="0" containsNumber="1" minValue="1.71" maxValue="47.66"/>
    </cacheField>
    <cacheField name="Rating" numFmtId="0">
      <sharedItems containsSemiMixedTypes="0" containsString="0" containsNumber="1" minValue="6.5" maxValue="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s v="538-90-7662"/>
    <s v="C"/>
    <x v="0"/>
    <s v="Member"/>
    <x v="0"/>
    <x v="0"/>
    <n v="33.340000000000003"/>
    <n v="5"/>
    <n v="8.34"/>
    <x v="0"/>
    <d v="2019-08-14T00:00:00"/>
    <s v="Cash"/>
    <d v="1899-12-30T20:19:00"/>
    <n v="4.76"/>
    <n v="8.34"/>
    <n v="9.4"/>
  </r>
  <r>
    <s v="983-63-4027"/>
    <s v="B"/>
    <x v="1"/>
    <s v="Member"/>
    <x v="1"/>
    <x v="0"/>
    <n v="70.17"/>
    <n v="9"/>
    <n v="31.58"/>
    <x v="1"/>
    <d v="2019-02-14T00:00:00"/>
    <s v="Credit card"/>
    <d v="1899-12-30T18:12:00"/>
    <n v="4.76"/>
    <n v="31.58"/>
    <n v="7.4"/>
  </r>
  <r>
    <s v="601-51-3197"/>
    <s v="A"/>
    <x v="2"/>
    <s v="Normal"/>
    <x v="1"/>
    <x v="1"/>
    <n v="89.7"/>
    <n v="1"/>
    <n v="4.49"/>
    <x v="2"/>
    <d v="2019-01-28T00:00:00"/>
    <s v="Cash"/>
    <d v="1899-12-30T19:37:00"/>
    <n v="4.76"/>
    <n v="4.49"/>
    <n v="8.5"/>
  </r>
  <r>
    <s v="895-79-8877"/>
    <s v="C"/>
    <x v="0"/>
    <s v="Member"/>
    <x v="1"/>
    <x v="0"/>
    <n v="79.53"/>
    <n v="7"/>
    <n v="27.84"/>
    <x v="3"/>
    <d v="2019-08-06T00:00:00"/>
    <s v="Cash"/>
    <d v="1899-12-30T15:44:00"/>
    <n v="4.76"/>
    <n v="27.84"/>
    <n v="6.6"/>
  </r>
  <r>
    <s v="322-40-3114"/>
    <s v="C"/>
    <x v="0"/>
    <s v="Member"/>
    <x v="0"/>
    <x v="0"/>
    <n v="59.73"/>
    <n v="2"/>
    <n v="5.97"/>
    <x v="4"/>
    <d v="2019-02-09T00:00:00"/>
    <s v="Ewallet"/>
    <d v="1899-12-30T18:49:00"/>
    <n v="4.76"/>
    <n v="5.97"/>
    <n v="8.6999999999999993"/>
  </r>
  <r>
    <s v="272-95-2253"/>
    <s v="A"/>
    <x v="2"/>
    <s v="Member"/>
    <x v="0"/>
    <x v="2"/>
    <n v="64.17"/>
    <n v="9"/>
    <n v="28.88"/>
    <x v="5"/>
    <d v="2019-12-09T00:00:00"/>
    <s v="Credit card"/>
    <d v="1899-12-30T13:02:00"/>
    <n v="4.76"/>
    <n v="28.88"/>
    <n v="7.9"/>
  </r>
  <r>
    <s v="293-88-2159"/>
    <s v="B"/>
    <x v="1"/>
    <s v="Normal"/>
    <x v="1"/>
    <x v="3"/>
    <n v="95.32"/>
    <n v="10"/>
    <n v="47.66"/>
    <x v="6"/>
    <d v="2019-11-23T00:00:00"/>
    <s v="Credit card"/>
    <d v="1899-12-30T19:19:00"/>
    <n v="4.76"/>
    <n v="47.66"/>
    <n v="7.5"/>
  </r>
  <r>
    <s v="914-53-9937"/>
    <s v="B"/>
    <x v="1"/>
    <s v="Normal"/>
    <x v="1"/>
    <x v="4"/>
    <n v="48.09"/>
    <n v="9"/>
    <n v="21.64"/>
    <x v="7"/>
    <d v="2019-11-10T00:00:00"/>
    <s v="Cash"/>
    <d v="1899-12-30T19:06:00"/>
    <n v="4.76"/>
    <n v="21.64"/>
    <n v="7"/>
  </r>
  <r>
    <s v="831-34-3292"/>
    <s v="A"/>
    <x v="2"/>
    <s v="Member"/>
    <x v="1"/>
    <x v="1"/>
    <n v="73.709999999999994"/>
    <n v="4"/>
    <n v="14.74"/>
    <x v="8"/>
    <d v="2019-02-01T00:00:00"/>
    <s v="Credit card"/>
    <d v="1899-12-30T13:14:00"/>
    <n v="4.76"/>
    <n v="14.74"/>
    <n v="7.8"/>
  </r>
  <r>
    <s v="785-48-6527"/>
    <s v="A"/>
    <x v="2"/>
    <s v="Normal"/>
    <x v="0"/>
    <x v="1"/>
    <n v="73.680000000000007"/>
    <n v="1"/>
    <n v="3.68"/>
    <x v="9"/>
    <d v="2019-01-15T00:00:00"/>
    <s v="Credit card"/>
    <d v="1899-12-30T20:40:00"/>
    <n v="4.76"/>
    <n v="3.68"/>
    <n v="7.7"/>
  </r>
  <r>
    <s v="366-46-5560"/>
    <s v="B"/>
    <x v="1"/>
    <s v="Member"/>
    <x v="0"/>
    <x v="2"/>
    <n v="75.03"/>
    <n v="4"/>
    <n v="15.01"/>
    <x v="10"/>
    <d v="2019-10-02T00:00:00"/>
    <s v="Cash"/>
    <d v="1899-12-30T19:12:00"/>
    <n v="4.76"/>
    <n v="15.01"/>
    <n v="6.5"/>
  </r>
  <r>
    <s v="855-33-7607"/>
    <s v="A"/>
    <x v="2"/>
    <s v="Normal"/>
    <x v="1"/>
    <x v="1"/>
    <n v="80.599999999999994"/>
    <n v="5"/>
    <n v="20.149999999999999"/>
    <x v="11"/>
    <d v="2019-12-15T00:00:00"/>
    <s v="Credit card"/>
    <d v="1899-12-30T15:13:00"/>
    <n v="4.76"/>
    <n v="20.149999999999999"/>
    <n v="9.5"/>
  </r>
  <r>
    <s v="419-61-6206"/>
    <s v="B"/>
    <x v="1"/>
    <s v="Normal"/>
    <x v="0"/>
    <x v="2"/>
    <n v="94.7"/>
    <n v="4"/>
    <n v="18.940000000000001"/>
    <x v="12"/>
    <d v="2019-11-26T00:00:00"/>
    <s v="Ewallet"/>
    <d v="1899-12-30T13:14:00"/>
    <n v="4.76"/>
    <n v="18.940000000000001"/>
    <n v="9.1999999999999993"/>
  </r>
  <r>
    <s v="439-11-4507"/>
    <s v="C"/>
    <x v="0"/>
    <s v="Member"/>
    <x v="0"/>
    <x v="5"/>
    <n v="59.23"/>
    <n v="2"/>
    <n v="5.92"/>
    <x v="13"/>
    <d v="2019-05-13T00:00:00"/>
    <s v="Cash"/>
    <d v="1899-12-30T14:42:00"/>
    <n v="4.76"/>
    <n v="5.92"/>
    <n v="9"/>
  </r>
  <r>
    <s v="981-73-9827"/>
    <s v="A"/>
    <x v="2"/>
    <s v="Normal"/>
    <x v="0"/>
    <x v="1"/>
    <n v="73.81"/>
    <n v="5"/>
    <n v="18.45"/>
    <x v="14"/>
    <d v="2019-07-18T00:00:00"/>
    <s v="Ewallet"/>
    <d v="1899-12-30T13:18:00"/>
    <n v="4.76"/>
    <n v="18.45"/>
    <n v="9.1999999999999993"/>
  </r>
  <r>
    <s v="931-66-7096"/>
    <s v="C"/>
    <x v="0"/>
    <s v="Member"/>
    <x v="0"/>
    <x v="0"/>
    <n v="58.84"/>
    <n v="7"/>
    <n v="20.59"/>
    <x v="15"/>
    <d v="2019-03-25T00:00:00"/>
    <s v="Credit card"/>
    <d v="1899-12-30T17:14:00"/>
    <n v="4.76"/>
    <n v="20.59"/>
    <n v="7.2"/>
  </r>
  <r>
    <s v="677-45-1634"/>
    <s v="C"/>
    <x v="0"/>
    <s v="Member"/>
    <x v="1"/>
    <x v="4"/>
    <n v="36.33"/>
    <n v="5"/>
    <n v="9.08"/>
    <x v="16"/>
    <d v="2019-03-15T00:00:00"/>
    <s v="Credit card"/>
    <d v="1899-12-30T20:47:00"/>
    <n v="4.76"/>
    <n v="9.08"/>
    <n v="7.6"/>
  </r>
  <r>
    <s v="876-67-6580"/>
    <s v="B"/>
    <x v="1"/>
    <s v="Normal"/>
    <x v="1"/>
    <x v="1"/>
    <n v="11.69"/>
    <n v="3"/>
    <n v="1.75"/>
    <x v="17"/>
    <d v="2019-02-27T00:00:00"/>
    <s v="Cash"/>
    <d v="1899-12-30T15:13:00"/>
    <n v="4.76"/>
    <n v="1.75"/>
    <n v="8.9"/>
  </r>
  <r>
    <s v="487-36-7696"/>
    <s v="C"/>
    <x v="0"/>
    <s v="Member"/>
    <x v="1"/>
    <x v="5"/>
    <n v="88.99"/>
    <n v="9"/>
    <n v="40.049999999999997"/>
    <x v="18"/>
    <d v="2019-09-14T00:00:00"/>
    <s v="Ewallet"/>
    <d v="1899-12-30T17:25:00"/>
    <n v="4.76"/>
    <n v="40.049999999999997"/>
    <n v="7.4"/>
  </r>
  <r>
    <s v="269-85-2671"/>
    <s v="A"/>
    <x v="2"/>
    <s v="Member"/>
    <x v="1"/>
    <x v="5"/>
    <n v="96.45"/>
    <n v="6"/>
    <n v="28.94"/>
    <x v="19"/>
    <d v="2019-02-11T00:00:00"/>
    <s v="Credit card"/>
    <d v="1899-12-30T12:28:00"/>
    <n v="4.76"/>
    <n v="28.94"/>
    <n v="8"/>
  </r>
  <r>
    <s v="156-73-6909"/>
    <s v="C"/>
    <x v="0"/>
    <s v="Member"/>
    <x v="0"/>
    <x v="5"/>
    <n v="65.44"/>
    <n v="6"/>
    <n v="19.63"/>
    <x v="20"/>
    <d v="2019-09-12T00:00:00"/>
    <s v="Ewallet"/>
    <d v="1899-12-30T12:13:00"/>
    <n v="4.76"/>
    <n v="19.63"/>
    <n v="8.4"/>
  </r>
  <r>
    <s v="106-66-9574"/>
    <s v="A"/>
    <x v="2"/>
    <s v="Member"/>
    <x v="0"/>
    <x v="5"/>
    <n v="34.14"/>
    <n v="1"/>
    <n v="1.71"/>
    <x v="21"/>
    <d v="2019-04-15T00:00:00"/>
    <s v="Cash"/>
    <d v="1899-12-30T17:05:00"/>
    <n v="4.76"/>
    <n v="1.71"/>
    <n v="6.6"/>
  </r>
  <r>
    <s v="703-42-3264"/>
    <s v="C"/>
    <x v="0"/>
    <s v="Member"/>
    <x v="1"/>
    <x v="2"/>
    <n v="98.39"/>
    <n v="3"/>
    <n v="14.76"/>
    <x v="22"/>
    <d v="2019-07-19T00:00:00"/>
    <s v="Ewallet"/>
    <d v="1899-12-30T11:27:00"/>
    <n v="4.76"/>
    <n v="14.76"/>
    <n v="8.4"/>
  </r>
  <r>
    <s v="665-52-7371"/>
    <s v="B"/>
    <x v="1"/>
    <s v="Normal"/>
    <x v="0"/>
    <x v="5"/>
    <n v="36.93"/>
    <n v="5"/>
    <n v="9.23"/>
    <x v="23"/>
    <d v="2019-01-12T00:00:00"/>
    <s v="Credit card"/>
    <d v="1899-12-30T14:25:00"/>
    <n v="4.76"/>
    <n v="9.23"/>
    <n v="9.3000000000000007"/>
  </r>
  <r>
    <s v="443-58-7845"/>
    <s v="B"/>
    <x v="1"/>
    <s v="Normal"/>
    <x v="1"/>
    <x v="0"/>
    <n v="50.79"/>
    <n v="6"/>
    <n v="15.24"/>
    <x v="24"/>
    <d v="2019-12-11T00:00:00"/>
    <s v="Ewallet"/>
    <d v="1899-12-30T12:50:00"/>
    <n v="4.76"/>
    <n v="15.24"/>
    <n v="8.1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M25" firstHeaderRow="1" firstDataRow="3" firstDataCol="1"/>
  <pivotFields count="16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axis="axisRow" showAll="0">
      <items count="7">
        <item x="1"/>
        <item x="4"/>
        <item x="5"/>
        <item x="0"/>
        <item x="3"/>
        <item x="2"/>
        <item t="default"/>
      </items>
    </pivotField>
    <pivotField dataField="1" showAll="0"/>
    <pivotField dataField="1" showAll="0"/>
    <pivotField dataField="1" showAll="0"/>
    <pivotField dataField="1" showAll="0">
      <items count="26">
        <item x="21"/>
        <item x="17"/>
        <item x="9"/>
        <item x="2"/>
        <item x="13"/>
        <item x="4"/>
        <item x="0"/>
        <item x="16"/>
        <item x="23"/>
        <item x="8"/>
        <item x="22"/>
        <item x="10"/>
        <item x="24"/>
        <item x="14"/>
        <item x="12"/>
        <item x="20"/>
        <item x="11"/>
        <item x="15"/>
        <item x="7"/>
        <item x="3"/>
        <item x="5"/>
        <item x="19"/>
        <item x="1"/>
        <item x="18"/>
        <item x="6"/>
        <item t="default"/>
      </items>
    </pivotField>
    <pivotField numFmtId="14" showAll="0"/>
    <pivotField showAll="0"/>
    <pivotField numFmtId="20" showAll="0"/>
    <pivotField showAll="0"/>
    <pivotField showAll="0"/>
    <pivotField showAll="0"/>
  </pivotFields>
  <rowFields count="2">
    <field x="5"/>
    <field x="2"/>
  </rowFields>
  <rowItems count="20">
    <i>
      <x/>
    </i>
    <i r="1"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>
      <x v="3"/>
    </i>
    <i r="1">
      <x/>
    </i>
    <i r="1">
      <x v="1"/>
    </i>
    <i>
      <x v="4"/>
    </i>
    <i r="1">
      <x/>
    </i>
    <i>
      <x v="5"/>
    </i>
    <i r="1">
      <x/>
    </i>
    <i r="1">
      <x v="1"/>
    </i>
    <i r="1">
      <x v="2"/>
    </i>
    <i t="grand">
      <x/>
    </i>
  </rowItems>
  <colFields count="2">
    <field x="-2"/>
    <field x="4"/>
  </colFields>
  <colItems count="12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t="grand">
      <x/>
    </i>
    <i t="grand" i="1">
      <x/>
    </i>
    <i t="grand" i="2">
      <x/>
    </i>
    <i t="grand" i="3">
      <x/>
    </i>
  </colItems>
  <dataFields count="4">
    <dataField name="Sum of Total" fld="9" baseField="0" baseItem="0" numFmtId="164"/>
    <dataField name="Sum of Tax 5%" fld="8" baseField="0" baseItem="0" numFmtId="164"/>
    <dataField name="Sum of Quantity" fld="7" baseField="0" baseItem="0"/>
    <dataField name="Sum of Unit price" fld="6" baseField="0" baseItem="0" numFmtId="164"/>
  </dataFields>
  <formats count="95">
    <format dxfId="9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8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8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5">
      <pivotArea outline="0" collapsedLevelsAreSubtotals="1" fieldPosition="0">
        <references count="2">
          <reference field="4294967294" count="1" selected="0">
            <x v="0"/>
          </reference>
          <reference field="4" count="0" selected="0"/>
        </references>
      </pivotArea>
    </format>
    <format dxfId="84">
      <pivotArea field="-2" type="button" dataOnly="0" labelOnly="1" outline="0" axis="axisCol" fieldPosition="0"/>
    </format>
    <format dxfId="83">
      <pivotArea field="4" type="button" dataOnly="0" labelOnly="1" outline="0" axis="axisCol" fieldPosition="1"/>
    </format>
    <format dxfId="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1">
      <pivotArea dataOnly="0" labelOnly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80">
      <pivotArea field="4" grandCol="1" outline="0" collapsedLevelsAreSubtotals="1" axis="axisCol" fieldPosition="1">
        <references count="1">
          <reference field="4294967294" count="1" selected="0">
            <x v="0"/>
          </reference>
        </references>
      </pivotArea>
    </format>
    <format dxfId="79">
      <pivotArea type="topRight" dataOnly="0" labelOnly="1" outline="0" offset="G1" fieldPosition="0"/>
    </format>
    <format dxfId="78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77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76">
      <pivotArea field="4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75">
      <pivotArea field="4" dataOnly="0" labelOnly="1" grandCol="1" outline="0" axis="axisCol" fieldPosition="1">
        <references count="1">
          <reference field="4294967294" count="1" selected="0">
            <x v="3"/>
          </reference>
        </references>
      </pivotArea>
    </format>
    <format dxfId="74">
      <pivotArea outline="0" collapsedLevelsAreSubtotals="1" fieldPosition="0">
        <references count="2">
          <reference field="4294967294" count="1" selected="0">
            <x v="1"/>
          </reference>
          <reference field="4" count="0" selected="0"/>
        </references>
      </pivotArea>
    </format>
    <format dxfId="73">
      <pivotArea type="topRight" dataOnly="0" labelOnly="1" outline="0" offset="A1:B1" fieldPosition="0"/>
    </format>
    <format dxfId="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">
      <pivotArea dataOnly="0" labelOnly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70">
      <pivotArea field="4" grandCol="1" outline="0" collapsedLevelsAreSubtotals="1" axis="axisCol" fieldPosition="1">
        <references count="1">
          <reference field="4294967294" count="1" selected="0">
            <x v="1"/>
          </reference>
        </references>
      </pivotArea>
    </format>
    <format dxfId="69">
      <pivotArea type="topRight" dataOnly="0" labelOnly="1" outline="0" offset="H1" fieldPosition="0"/>
    </format>
    <format dxfId="68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67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66">
      <pivotArea field="4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65">
      <pivotArea field="4" dataOnly="0" labelOnly="1" grandCol="1" outline="0" axis="axisCol" fieldPosition="1">
        <references count="1">
          <reference field="4294967294" count="1" selected="0">
            <x v="3"/>
          </reference>
        </references>
      </pivotArea>
    </format>
    <format dxfId="64">
      <pivotArea outline="0" collapsedLevelsAreSubtotals="1" fieldPosition="0">
        <references count="2">
          <reference field="4294967294" count="1" selected="0">
            <x v="2"/>
          </reference>
          <reference field="4" count="0" selected="0"/>
        </references>
      </pivotArea>
    </format>
    <format dxfId="63">
      <pivotArea type="topRight" dataOnly="0" labelOnly="1" outline="0" offset="C1:D1" fieldPosition="0"/>
    </format>
    <format dxfId="6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1">
      <pivotArea dataOnly="0" labelOnly="1" fieldPosition="0">
        <references count="2">
          <reference field="4294967294" count="1" selected="0">
            <x v="2"/>
          </reference>
          <reference field="4" count="0"/>
        </references>
      </pivotArea>
    </format>
    <format dxfId="60">
      <pivotArea field="4" grandCol="1" outline="0" collapsedLevelsAreSubtotals="1" axis="axisCol" fieldPosition="1">
        <references count="1">
          <reference field="4294967294" count="1" selected="0">
            <x v="2"/>
          </reference>
        </references>
      </pivotArea>
    </format>
    <format dxfId="59">
      <pivotArea type="topRight" dataOnly="0" labelOnly="1" outline="0" offset="I1" fieldPosition="0"/>
    </format>
    <format dxfId="58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57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56">
      <pivotArea field="4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55">
      <pivotArea field="4" dataOnly="0" labelOnly="1" grandCol="1" outline="0" axis="axisCol" fieldPosition="1">
        <references count="1">
          <reference field="4294967294" count="1" selected="0">
            <x v="3"/>
          </reference>
        </references>
      </pivotArea>
    </format>
    <format dxfId="54">
      <pivotArea outline="0" collapsedLevelsAreSubtotals="1" fieldPosition="0">
        <references count="2">
          <reference field="4294967294" count="1" selected="0">
            <x v="3"/>
          </reference>
          <reference field="4" count="0" selected="0"/>
        </references>
      </pivotArea>
    </format>
    <format dxfId="53">
      <pivotArea type="topRight" dataOnly="0" labelOnly="1" outline="0" offset="E1:F1" fieldPosition="0"/>
    </format>
    <format dxfId="5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1">
      <pivotArea dataOnly="0" labelOnly="1" fieldPosition="0">
        <references count="2">
          <reference field="4294967294" count="1" selected="0">
            <x v="3"/>
          </reference>
          <reference field="4" count="0"/>
        </references>
      </pivotArea>
    </format>
    <format dxfId="50">
      <pivotArea outline="0" collapsedLevelsAreSubtotals="1" fieldPosition="0">
        <references count="2">
          <reference field="4294967294" count="1" selected="0">
            <x v="3"/>
          </reference>
          <reference field="4" count="0" selected="0"/>
        </references>
      </pivotArea>
    </format>
    <format dxfId="49">
      <pivotArea type="topRight" dataOnly="0" labelOnly="1" outline="0" offset="E1:F1" fieldPosition="0"/>
    </format>
    <format dxfId="4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7">
      <pivotArea dataOnly="0" labelOnly="1" fieldPosition="0">
        <references count="2">
          <reference field="4294967294" count="1" selected="0">
            <x v="3"/>
          </reference>
          <reference field="4" count="0"/>
        </references>
      </pivotArea>
    </format>
    <format dxfId="46">
      <pivotArea field="4" grandCol="1" outline="0" collapsedLevelsAreSubtotals="1" axis="axisCol" fieldPosition="1">
        <references count="1">
          <reference field="4294967294" count="1" selected="0">
            <x v="3"/>
          </reference>
        </references>
      </pivotArea>
    </format>
    <format dxfId="45">
      <pivotArea type="topRight" dataOnly="0" labelOnly="1" outline="0" offset="J1" fieldPosition="0"/>
    </format>
    <format dxfId="44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3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2">
      <pivotArea field="4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41">
      <pivotArea field="4" dataOnly="0" labelOnly="1" grandCol="1" outline="0" axis="axisCol" fieldPosition="1">
        <references count="1">
          <reference field="4294967294" count="1" selected="0">
            <x v="3"/>
          </reference>
        </references>
      </pivotArea>
    </format>
    <format dxfId="40">
      <pivotArea field="-2" type="button" dataOnly="0" labelOnly="1" outline="0" axis="axisCol" fieldPosition="0"/>
    </format>
    <format dxfId="39">
      <pivotArea field="4" type="button" dataOnly="0" labelOnly="1" outline="0" axis="axisCol" fieldPosition="1"/>
    </format>
    <format dxfId="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36">
      <pivotArea type="topRight" dataOnly="0" labelOnly="1" outline="0" offset="G1" fieldPosition="0"/>
    </format>
    <format dxfId="35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34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33">
      <pivotArea field="4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32">
      <pivotArea field="4" dataOnly="0" labelOnly="1" grandCol="1" outline="0" axis="axisCol" fieldPosition="1">
        <references count="1">
          <reference field="4294967294" count="1" selected="0">
            <x v="3"/>
          </reference>
        </references>
      </pivotArea>
    </format>
    <format dxfId="31">
      <pivotArea type="topRight" dataOnly="0" labelOnly="1" outline="0" offset="A1:B1" fieldPosition="0"/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">
      <pivotArea dataOnly="0" labelOnly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28">
      <pivotArea type="topRight" dataOnly="0" labelOnly="1" outline="0" offset="H1" fieldPosition="0"/>
    </format>
    <format dxfId="27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6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5">
      <pivotArea field="4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4">
      <pivotArea field="4" dataOnly="0" labelOnly="1" grandCol="1" outline="0" axis="axisCol" fieldPosition="1">
        <references count="1">
          <reference field="4294967294" count="1" selected="0">
            <x v="3"/>
          </reference>
        </references>
      </pivotArea>
    </format>
    <format dxfId="23">
      <pivotArea type="topRight" dataOnly="0" labelOnly="1" outline="0" offset="C1:D1" fieldPosition="0"/>
    </format>
    <format dxfId="2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">
      <pivotArea dataOnly="0" labelOnly="1" fieldPosition="0">
        <references count="2">
          <reference field="4294967294" count="1" selected="0">
            <x v="2"/>
          </reference>
          <reference field="4" count="0"/>
        </references>
      </pivotArea>
    </format>
    <format dxfId="20">
      <pivotArea type="topRight" dataOnly="0" labelOnly="1" outline="0" offset="I1" fieldPosition="0"/>
    </format>
    <format dxfId="19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8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7">
      <pivotArea field="4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16">
      <pivotArea field="4" dataOnly="0" labelOnly="1" grandCol="1" outline="0" axis="axisCol" fieldPosition="1">
        <references count="1">
          <reference field="4294967294" count="1" selected="0">
            <x v="3"/>
          </reference>
        </references>
      </pivotArea>
    </format>
    <format dxfId="15">
      <pivotArea type="topRight" dataOnly="0" labelOnly="1" outline="0" offset="E1:F1" fieldPosition="0"/>
    </format>
    <format dxfId="1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">
      <pivotArea dataOnly="0" labelOnly="1" fieldPosition="0">
        <references count="2">
          <reference field="4294967294" count="1" selected="0">
            <x v="3"/>
          </reference>
          <reference field="4" count="0"/>
        </references>
      </pivotArea>
    </format>
    <format dxfId="12">
      <pivotArea type="topRight" dataOnly="0" labelOnly="1" outline="0" offset="J1" fieldPosition="0"/>
    </format>
    <format dxfId="11">
      <pivotArea field="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0">
      <pivotArea field="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9">
      <pivotArea field="4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8">
      <pivotArea field="4" dataOnly="0" labelOnly="1" grandCol="1" outline="0" axis="axisCol" fieldPosition="1">
        <references count="1">
          <reference field="4294967294" count="1" selected="0">
            <x v="3"/>
          </reference>
        </references>
      </pivotArea>
    </format>
    <format dxfId="7">
      <pivotArea grandRow="1" grandCol="1"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">
      <pivotArea grandRow="1" grandCol="1"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field="4" grandRow="1" outline="0" collapsedLevelsAreSubtotals="1" axis="axisCol" fieldPosition="1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4">
      <pivotArea field="4" grandRow="1" outline="0" collapsedLevelsAreSubtotals="1" axis="axisCol" fieldPosition="1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  <format dxfId="3">
      <pivotArea field="4" grandRow="1" outline="0" collapsedLevelsAreSubtotals="1" axis="axisCol" fieldPosition="1">
        <references count="2">
          <reference field="4294967294" count="1" selected="0">
            <x v="1"/>
          </reference>
          <reference field="4" count="0" selected="0"/>
        </references>
      </pivotArea>
    </format>
    <format dxfId="2">
      <pivotArea field="4" grandRow="1" outline="0" collapsedLevelsAreSubtotals="1" axis="axisCol" fieldPosition="1">
        <references count="2">
          <reference field="4294967294" count="1" selected="0">
            <x v="0"/>
          </reference>
          <reference field="4" count="0" selected="0"/>
        </references>
      </pivotArea>
    </format>
    <format dxfId="1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field="4" grandRow="1" outline="0" collapsedLevelsAreSubtotals="1" axis="axisCol" fieldPosition="1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format>
  </formats>
  <chartFormats count="8"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Delivery Year" tableColumnId="13"/>
      <queryTableField id="2" name="Full Name" tableColumnId="14"/>
      <queryTableField id="3" name="value.2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Query1" displayName="Query1" ref="A1:C28" tableType="queryTable" totalsRowShown="0">
  <autoFilter ref="A1:C28"/>
  <tableColumns count="3">
    <tableColumn id="13" uniqueName="13" name="Delivery Year" queryTableFieldId="1" dataDxfId="97"/>
    <tableColumn id="14" uniqueName="14" name="Full Name" queryTableFieldId="2" dataDxfId="96"/>
    <tableColumn id="15" uniqueName="15" name="value.2" queryTableFieldId="3" dataDxfId="9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S13" sqref="S13"/>
    </sheetView>
  </sheetViews>
  <sheetFormatPr defaultRowHeight="14.4" x14ac:dyDescent="0.3"/>
  <cols>
    <col min="1" max="1" width="14.109375" bestFit="1" customWidth="1"/>
    <col min="2" max="2" width="11.5546875" bestFit="1" customWidth="1"/>
    <col min="3" max="3" width="9.33203125" bestFit="1" customWidth="1"/>
    <col min="9" max="9" width="15.6640625" customWidth="1"/>
  </cols>
  <sheetData>
    <row r="1" spans="1:9" x14ac:dyDescent="0.3">
      <c r="A1" s="1" t="s">
        <v>0</v>
      </c>
      <c r="B1" s="1" t="s">
        <v>1</v>
      </c>
      <c r="C1" s="1" t="s">
        <v>2</v>
      </c>
    </row>
    <row r="2" spans="1:9" x14ac:dyDescent="0.3">
      <c r="A2" s="1">
        <v>2018</v>
      </c>
      <c r="B2" s="1" t="s">
        <v>3</v>
      </c>
      <c r="C2" s="1">
        <v>100</v>
      </c>
      <c r="I2" t="s">
        <v>43</v>
      </c>
    </row>
    <row r="3" spans="1:9" x14ac:dyDescent="0.3">
      <c r="A3" s="1">
        <v>2018</v>
      </c>
      <c r="B3" s="1" t="s">
        <v>4</v>
      </c>
      <c r="C3" s="1">
        <v>200</v>
      </c>
    </row>
    <row r="4" spans="1:9" x14ac:dyDescent="0.3">
      <c r="A4" s="1">
        <v>2018</v>
      </c>
      <c r="B4" s="1" t="s">
        <v>5</v>
      </c>
      <c r="C4" s="1">
        <v>300</v>
      </c>
    </row>
    <row r="5" spans="1:9" x14ac:dyDescent="0.3">
      <c r="A5" s="1">
        <v>2018</v>
      </c>
      <c r="B5" s="1" t="s">
        <v>6</v>
      </c>
      <c r="C5" s="1">
        <v>400</v>
      </c>
    </row>
    <row r="6" spans="1:9" x14ac:dyDescent="0.3">
      <c r="A6" s="1">
        <v>2018</v>
      </c>
      <c r="B6" s="1" t="s">
        <v>7</v>
      </c>
      <c r="C6" s="1">
        <v>500</v>
      </c>
    </row>
    <row r="7" spans="1:9" x14ac:dyDescent="0.3">
      <c r="A7" s="1">
        <v>2018</v>
      </c>
      <c r="B7" s="1" t="s">
        <v>8</v>
      </c>
      <c r="C7" s="1">
        <v>600</v>
      </c>
    </row>
    <row r="8" spans="1:9" x14ac:dyDescent="0.3">
      <c r="A8" s="1">
        <v>2018</v>
      </c>
      <c r="B8" s="1" t="s">
        <v>9</v>
      </c>
      <c r="C8" s="1">
        <v>700</v>
      </c>
    </row>
    <row r="9" spans="1:9" x14ac:dyDescent="0.3">
      <c r="A9" s="1">
        <v>2018</v>
      </c>
      <c r="B9" s="1" t="s">
        <v>10</v>
      </c>
      <c r="C9" s="1">
        <v>800</v>
      </c>
    </row>
    <row r="10" spans="1:9" x14ac:dyDescent="0.3">
      <c r="A10" s="1">
        <v>2018</v>
      </c>
      <c r="B10" s="1" t="s">
        <v>11</v>
      </c>
      <c r="C10" s="1">
        <v>900</v>
      </c>
    </row>
    <row r="11" spans="1:9" x14ac:dyDescent="0.3">
      <c r="A11" s="1">
        <v>2019</v>
      </c>
      <c r="B11" s="1" t="s">
        <v>12</v>
      </c>
      <c r="C11" s="1">
        <v>900</v>
      </c>
    </row>
    <row r="12" spans="1:9" x14ac:dyDescent="0.3">
      <c r="A12" s="1">
        <v>2019</v>
      </c>
      <c r="B12" s="1" t="s">
        <v>13</v>
      </c>
      <c r="C12" s="1">
        <v>1000</v>
      </c>
    </row>
    <row r="13" spans="1:9" x14ac:dyDescent="0.3">
      <c r="A13" s="1">
        <v>2019</v>
      </c>
      <c r="B13" s="1" t="s">
        <v>14</v>
      </c>
      <c r="C13" s="1">
        <v>1100</v>
      </c>
    </row>
    <row r="14" spans="1:9" x14ac:dyDescent="0.3">
      <c r="A14" s="1">
        <v>2019</v>
      </c>
      <c r="B14" s="1" t="s">
        <v>15</v>
      </c>
      <c r="C14" s="1">
        <v>1200</v>
      </c>
    </row>
    <row r="15" spans="1:9" x14ac:dyDescent="0.3">
      <c r="A15" s="1">
        <v>2019</v>
      </c>
      <c r="B15" s="1" t="s">
        <v>16</v>
      </c>
      <c r="C15" s="1">
        <v>1300</v>
      </c>
    </row>
    <row r="16" spans="1:9" x14ac:dyDescent="0.3">
      <c r="A16" s="1">
        <v>2019</v>
      </c>
      <c r="B16" s="1" t="s">
        <v>17</v>
      </c>
      <c r="C16" s="1">
        <v>1400</v>
      </c>
    </row>
    <row r="17" spans="1:3" x14ac:dyDescent="0.3">
      <c r="A17" s="1">
        <v>2019</v>
      </c>
      <c r="B17" s="1" t="s">
        <v>18</v>
      </c>
      <c r="C17" s="1">
        <v>1500</v>
      </c>
    </row>
    <row r="18" spans="1:3" x14ac:dyDescent="0.3">
      <c r="A18" s="1">
        <v>2019</v>
      </c>
      <c r="B18" s="1" t="s">
        <v>19</v>
      </c>
      <c r="C18" s="1">
        <v>1600</v>
      </c>
    </row>
    <row r="19" spans="1:3" x14ac:dyDescent="0.3">
      <c r="A19" s="1">
        <v>2019</v>
      </c>
      <c r="B19" s="1" t="s">
        <v>20</v>
      </c>
      <c r="C19" s="1">
        <v>1700</v>
      </c>
    </row>
    <row r="20" spans="1:3" x14ac:dyDescent="0.3">
      <c r="A20" s="1">
        <v>2020</v>
      </c>
      <c r="B20" s="1" t="s">
        <v>21</v>
      </c>
      <c r="C20" s="1">
        <v>2000</v>
      </c>
    </row>
    <row r="21" spans="1:3" x14ac:dyDescent="0.3">
      <c r="A21" s="1">
        <v>2020</v>
      </c>
      <c r="B21" s="1" t="s">
        <v>22</v>
      </c>
      <c r="C21" s="1">
        <v>2200</v>
      </c>
    </row>
    <row r="22" spans="1:3" x14ac:dyDescent="0.3">
      <c r="A22" s="1">
        <v>2020</v>
      </c>
      <c r="B22" s="1" t="s">
        <v>23</v>
      </c>
      <c r="C22" s="1">
        <v>2400</v>
      </c>
    </row>
    <row r="23" spans="1:3" x14ac:dyDescent="0.3">
      <c r="A23" s="1">
        <v>2020</v>
      </c>
      <c r="B23" s="1" t="s">
        <v>24</v>
      </c>
      <c r="C23" s="1">
        <v>2600</v>
      </c>
    </row>
    <row r="24" spans="1:3" x14ac:dyDescent="0.3">
      <c r="A24" s="1">
        <v>2020</v>
      </c>
      <c r="B24" s="1" t="s">
        <v>25</v>
      </c>
      <c r="C24" s="1">
        <v>2800</v>
      </c>
    </row>
    <row r="25" spans="1:3" x14ac:dyDescent="0.3">
      <c r="A25" s="1">
        <v>2020</v>
      </c>
      <c r="B25" s="1" t="s">
        <v>26</v>
      </c>
      <c r="C25" s="1">
        <v>3000</v>
      </c>
    </row>
    <row r="26" spans="1:3" x14ac:dyDescent="0.3">
      <c r="A26" s="1">
        <v>2020</v>
      </c>
      <c r="B26" s="1" t="s">
        <v>21</v>
      </c>
      <c r="C26" s="1">
        <v>3200</v>
      </c>
    </row>
    <row r="27" spans="1:3" x14ac:dyDescent="0.3">
      <c r="A27" s="1">
        <v>2020</v>
      </c>
      <c r="B27" s="1" t="s">
        <v>22</v>
      </c>
      <c r="C27" s="1">
        <v>3400</v>
      </c>
    </row>
    <row r="28" spans="1:3" x14ac:dyDescent="0.3">
      <c r="A28" s="1">
        <v>2020</v>
      </c>
      <c r="B28" s="1" t="s">
        <v>23</v>
      </c>
      <c r="C28" s="1">
        <v>3600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A8" zoomScale="85" zoomScaleNormal="85" workbookViewId="0">
      <selection activeCell="E31" sqref="E31"/>
    </sheetView>
  </sheetViews>
  <sheetFormatPr defaultRowHeight="14.4" x14ac:dyDescent="0.3"/>
  <cols>
    <col min="1" max="1" width="8.109375" customWidth="1"/>
    <col min="2" max="2" width="13.109375" customWidth="1"/>
    <col min="3" max="3" width="10.33203125" customWidth="1"/>
    <col min="4" max="4" width="15.6640625" customWidth="1"/>
    <col min="5" max="5" width="13.21875" customWidth="1"/>
    <col min="6" max="6" width="21" customWidth="1"/>
    <col min="7" max="7" width="22.88671875" customWidth="1"/>
    <col min="8" max="8" width="17.109375" customWidth="1"/>
    <col min="9" max="9" width="31.44140625" customWidth="1"/>
  </cols>
  <sheetData>
    <row r="1" spans="1:9" ht="25.8" customHeight="1" x14ac:dyDescent="0.45">
      <c r="F1" s="3" t="s">
        <v>44</v>
      </c>
    </row>
    <row r="3" spans="1:9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1</v>
      </c>
    </row>
    <row r="4" spans="1:9" x14ac:dyDescent="0.3">
      <c r="A4">
        <v>1001</v>
      </c>
      <c r="B4" t="s">
        <v>32</v>
      </c>
      <c r="C4" t="s">
        <v>33</v>
      </c>
      <c r="D4" s="2">
        <v>35315</v>
      </c>
      <c r="E4" s="2">
        <v>35385</v>
      </c>
      <c r="F4" t="str">
        <f>CONCATENATE(B4,C4)</f>
        <v>NarasimmanMr.</v>
      </c>
    </row>
    <row r="5" spans="1:9" x14ac:dyDescent="0.3">
      <c r="A5">
        <v>1002</v>
      </c>
      <c r="B5" t="s">
        <v>36</v>
      </c>
      <c r="C5" t="s">
        <v>37</v>
      </c>
      <c r="D5" s="2">
        <v>35315</v>
      </c>
      <c r="E5" s="2">
        <v>35385</v>
      </c>
      <c r="F5" t="str">
        <f>CONCATENATE(B5,C5)</f>
        <v>PvithraMiss.</v>
      </c>
    </row>
    <row r="6" spans="1:9" x14ac:dyDescent="0.3">
      <c r="A6">
        <v>1003</v>
      </c>
      <c r="B6" t="s">
        <v>38</v>
      </c>
      <c r="C6" t="s">
        <v>37</v>
      </c>
      <c r="D6" s="2">
        <v>35315</v>
      </c>
      <c r="E6" s="2">
        <v>35385</v>
      </c>
      <c r="F6" t="str">
        <f>CONCATENATE(B6,C6)</f>
        <v>RoshiniMiss.</v>
      </c>
    </row>
    <row r="7" spans="1:9" x14ac:dyDescent="0.3">
      <c r="A7">
        <v>1004</v>
      </c>
      <c r="B7" t="s">
        <v>39</v>
      </c>
      <c r="C7" t="s">
        <v>33</v>
      </c>
      <c r="D7" s="2">
        <v>35315</v>
      </c>
      <c r="E7" s="2">
        <v>35385</v>
      </c>
      <c r="F7" t="str">
        <f>CONCATENATE(B7,C7)</f>
        <v>SureshMr.</v>
      </c>
    </row>
    <row r="8" spans="1:9" x14ac:dyDescent="0.3">
      <c r="A8">
        <v>1005</v>
      </c>
      <c r="B8" t="s">
        <v>40</v>
      </c>
      <c r="C8" t="s">
        <v>33</v>
      </c>
      <c r="D8" s="2">
        <v>35315</v>
      </c>
      <c r="E8" s="2">
        <v>35385</v>
      </c>
      <c r="F8" t="str">
        <f>CONCATENATE(B8,C8)</f>
        <v>RajanMr.</v>
      </c>
    </row>
    <row r="9" spans="1:9" ht="12.6" customHeight="1" x14ac:dyDescent="0.3"/>
    <row r="10" spans="1:9" ht="36" customHeight="1" x14ac:dyDescent="0.35">
      <c r="F10" s="4" t="s">
        <v>46</v>
      </c>
      <c r="G10" t="s">
        <v>45</v>
      </c>
    </row>
    <row r="11" spans="1:9" x14ac:dyDescent="0.3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1</v>
      </c>
      <c r="H11" t="s">
        <v>1</v>
      </c>
    </row>
    <row r="12" spans="1:9" x14ac:dyDescent="0.3">
      <c r="A12">
        <v>1001</v>
      </c>
      <c r="B12" t="s">
        <v>32</v>
      </c>
      <c r="C12" t="s">
        <v>33</v>
      </c>
      <c r="D12" s="2">
        <v>35315</v>
      </c>
      <c r="E12" s="2">
        <v>35385</v>
      </c>
      <c r="F12" t="str">
        <f t="shared" ref="F12:F17" si="0">CONCATENATE(B12,C12)</f>
        <v>NarasimmanMr.</v>
      </c>
      <c r="G12" t="s">
        <v>34</v>
      </c>
      <c r="H12" t="str">
        <f t="shared" ref="H12:H17" si="1">CONCATENATE(C12,B12)</f>
        <v>Mr.Narasimman</v>
      </c>
      <c r="I12" t="s">
        <v>35</v>
      </c>
    </row>
    <row r="13" spans="1:9" x14ac:dyDescent="0.3">
      <c r="A13">
        <v>1002</v>
      </c>
      <c r="B13" t="s">
        <v>36</v>
      </c>
      <c r="C13" t="s">
        <v>37</v>
      </c>
      <c r="D13" s="2">
        <v>35315</v>
      </c>
      <c r="E13" s="2">
        <v>35385</v>
      </c>
      <c r="F13" t="str">
        <f t="shared" si="0"/>
        <v>PvithraMiss.</v>
      </c>
      <c r="H13" t="str">
        <f t="shared" si="1"/>
        <v>Miss.Pvithra</v>
      </c>
    </row>
    <row r="14" spans="1:9" x14ac:dyDescent="0.3">
      <c r="A14">
        <v>1003</v>
      </c>
      <c r="B14" t="s">
        <v>38</v>
      </c>
      <c r="C14" t="s">
        <v>37</v>
      </c>
      <c r="D14" s="2">
        <v>35315</v>
      </c>
      <c r="E14" s="2">
        <v>35385</v>
      </c>
      <c r="F14" t="str">
        <f t="shared" si="0"/>
        <v>RoshiniMiss.</v>
      </c>
      <c r="H14" t="str">
        <f t="shared" si="1"/>
        <v>Miss.Roshini</v>
      </c>
    </row>
    <row r="15" spans="1:9" x14ac:dyDescent="0.3">
      <c r="A15">
        <v>1004</v>
      </c>
      <c r="B15" t="s">
        <v>39</v>
      </c>
      <c r="C15" t="s">
        <v>33</v>
      </c>
      <c r="D15" s="2">
        <v>35315</v>
      </c>
      <c r="E15" s="2">
        <v>35385</v>
      </c>
      <c r="F15" t="str">
        <f t="shared" si="0"/>
        <v>SureshMr.</v>
      </c>
      <c r="H15" t="str">
        <f t="shared" si="1"/>
        <v>Mr.Suresh</v>
      </c>
    </row>
    <row r="16" spans="1:9" x14ac:dyDescent="0.3">
      <c r="A16">
        <v>1005</v>
      </c>
      <c r="B16" t="s">
        <v>40</v>
      </c>
      <c r="C16" t="s">
        <v>33</v>
      </c>
      <c r="D16" s="2">
        <v>35315</v>
      </c>
      <c r="E16" s="2">
        <v>35385</v>
      </c>
      <c r="F16" t="str">
        <f t="shared" si="0"/>
        <v>RajanMr.</v>
      </c>
      <c r="H16" t="str">
        <f t="shared" si="1"/>
        <v>Mr.Rajan</v>
      </c>
    </row>
    <row r="17" spans="1:11" x14ac:dyDescent="0.3">
      <c r="B17" t="s">
        <v>41</v>
      </c>
      <c r="C17" t="s">
        <v>33</v>
      </c>
      <c r="F17" t="str">
        <f t="shared" si="0"/>
        <v>RavikumarMr.</v>
      </c>
      <c r="H17" t="str">
        <f t="shared" si="1"/>
        <v>Mr.Ravikumar</v>
      </c>
      <c r="I17" t="s">
        <v>42</v>
      </c>
    </row>
    <row r="20" spans="1:11" ht="18" x14ac:dyDescent="0.35">
      <c r="F20" s="4" t="s">
        <v>47</v>
      </c>
    </row>
    <row r="21" spans="1:11" x14ac:dyDescent="0.3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1</v>
      </c>
      <c r="G21" t="s">
        <v>49</v>
      </c>
      <c r="H21" s="5" t="s">
        <v>48</v>
      </c>
    </row>
    <row r="22" spans="1:11" x14ac:dyDescent="0.3">
      <c r="A22">
        <v>1001</v>
      </c>
      <c r="B22" t="s">
        <v>32</v>
      </c>
      <c r="C22" t="s">
        <v>33</v>
      </c>
      <c r="D22" s="2">
        <v>35315</v>
      </c>
      <c r="E22" s="2">
        <v>35385</v>
      </c>
      <c r="F22" t="str">
        <f>CONCATENATE(C22,B22)</f>
        <v>Mr.Narasimman</v>
      </c>
      <c r="G22" t="str">
        <f>VLOOKUP(K22,A21:F26,6,FALSE)</f>
        <v>Mr.Suresh</v>
      </c>
      <c r="H22" t="s">
        <v>50</v>
      </c>
      <c r="K22">
        <v>1004</v>
      </c>
    </row>
    <row r="23" spans="1:11" x14ac:dyDescent="0.3">
      <c r="A23">
        <v>1002</v>
      </c>
      <c r="B23" t="s">
        <v>36</v>
      </c>
      <c r="C23" t="s">
        <v>37</v>
      </c>
      <c r="D23" s="2">
        <v>35315</v>
      </c>
      <c r="E23" s="2">
        <v>35385</v>
      </c>
      <c r="F23" t="str">
        <f>CONCATENATE(C23,B23)</f>
        <v>Miss.Pvithra</v>
      </c>
    </row>
    <row r="24" spans="1:11" x14ac:dyDescent="0.3">
      <c r="A24">
        <v>1003</v>
      </c>
      <c r="B24" t="s">
        <v>38</v>
      </c>
      <c r="C24" t="s">
        <v>37</v>
      </c>
      <c r="D24" s="2">
        <v>35315</v>
      </c>
      <c r="E24" s="2">
        <v>35385</v>
      </c>
      <c r="F24" t="str">
        <f>CONCATENATE(C24,B24)</f>
        <v>Miss.Roshini</v>
      </c>
      <c r="G24" t="str">
        <f>VLOOKUP(A26,A21:F26,2,FALSE)</f>
        <v>Rajan</v>
      </c>
      <c r="H24" t="s">
        <v>51</v>
      </c>
    </row>
    <row r="25" spans="1:11" x14ac:dyDescent="0.3">
      <c r="A25">
        <v>1004</v>
      </c>
      <c r="B25" t="s">
        <v>39</v>
      </c>
      <c r="C25" t="s">
        <v>33</v>
      </c>
      <c r="D25" s="2">
        <v>35315</v>
      </c>
      <c r="E25" s="2">
        <v>35385</v>
      </c>
      <c r="F25" t="str">
        <f>CONCATENATE(C25,B25)</f>
        <v>Mr.Suresh</v>
      </c>
    </row>
    <row r="26" spans="1:11" x14ac:dyDescent="0.3">
      <c r="A26">
        <v>1005</v>
      </c>
      <c r="B26" t="s">
        <v>40</v>
      </c>
      <c r="C26" t="s">
        <v>33</v>
      </c>
      <c r="D26" s="2">
        <v>35315</v>
      </c>
      <c r="E26" s="2">
        <v>35385</v>
      </c>
      <c r="F26" t="str">
        <f>CONCATENATE(C26,B26)</f>
        <v>Mr.Rajan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A5" sqref="A1:P26"/>
    </sheetView>
  </sheetViews>
  <sheetFormatPr defaultRowHeight="14.4" x14ac:dyDescent="0.3"/>
  <sheetData>
    <row r="1" spans="1:16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</row>
    <row r="2" spans="1:16" x14ac:dyDescent="0.3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>
        <v>33.340000000000003</v>
      </c>
      <c r="H2">
        <v>5</v>
      </c>
      <c r="I2">
        <v>8.34</v>
      </c>
      <c r="J2">
        <v>175.04</v>
      </c>
      <c r="K2" s="2">
        <v>43691</v>
      </c>
      <c r="L2" t="s">
        <v>74</v>
      </c>
      <c r="M2" s="6">
        <v>0.84652777777777777</v>
      </c>
      <c r="N2">
        <v>4.76</v>
      </c>
      <c r="O2">
        <v>8.34</v>
      </c>
      <c r="P2">
        <v>9.4</v>
      </c>
    </row>
    <row r="3" spans="1:16" x14ac:dyDescent="0.3">
      <c r="A3" t="s">
        <v>75</v>
      </c>
      <c r="B3" t="s">
        <v>76</v>
      </c>
      <c r="C3" t="s">
        <v>77</v>
      </c>
      <c r="D3" t="s">
        <v>71</v>
      </c>
      <c r="E3" t="s">
        <v>78</v>
      </c>
      <c r="F3" t="s">
        <v>73</v>
      </c>
      <c r="G3">
        <v>70.17</v>
      </c>
      <c r="H3">
        <v>9</v>
      </c>
      <c r="I3">
        <v>31.58</v>
      </c>
      <c r="J3">
        <v>663.11</v>
      </c>
      <c r="K3" s="2">
        <v>43510</v>
      </c>
      <c r="L3" t="s">
        <v>79</v>
      </c>
      <c r="M3" s="6">
        <v>0.7583333333333333</v>
      </c>
      <c r="N3">
        <v>4.76</v>
      </c>
      <c r="O3">
        <v>31.58</v>
      </c>
      <c r="P3">
        <v>7.4</v>
      </c>
    </row>
    <row r="4" spans="1:16" x14ac:dyDescent="0.3">
      <c r="A4" t="s">
        <v>80</v>
      </c>
      <c r="B4" t="s">
        <v>81</v>
      </c>
      <c r="C4" t="s">
        <v>82</v>
      </c>
      <c r="D4" t="s">
        <v>83</v>
      </c>
      <c r="E4" t="s">
        <v>78</v>
      </c>
      <c r="F4" t="s">
        <v>84</v>
      </c>
      <c r="G4">
        <v>89.7</v>
      </c>
      <c r="H4">
        <v>1</v>
      </c>
      <c r="I4">
        <v>4.49</v>
      </c>
      <c r="J4">
        <v>94.19</v>
      </c>
      <c r="K4" s="2">
        <v>43493</v>
      </c>
      <c r="L4" t="s">
        <v>74</v>
      </c>
      <c r="M4" s="6">
        <v>0.81736111111111109</v>
      </c>
      <c r="N4">
        <v>4.76</v>
      </c>
      <c r="O4">
        <v>4.49</v>
      </c>
      <c r="P4">
        <v>8.5</v>
      </c>
    </row>
    <row r="5" spans="1:16" x14ac:dyDescent="0.3">
      <c r="A5" t="s">
        <v>85</v>
      </c>
      <c r="B5" t="s">
        <v>69</v>
      </c>
      <c r="C5" t="s">
        <v>70</v>
      </c>
      <c r="D5" t="s">
        <v>71</v>
      </c>
      <c r="E5" t="s">
        <v>78</v>
      </c>
      <c r="F5" t="s">
        <v>73</v>
      </c>
      <c r="G5">
        <v>79.53</v>
      </c>
      <c r="H5">
        <v>7</v>
      </c>
      <c r="I5">
        <v>27.84</v>
      </c>
      <c r="J5">
        <v>584.54999999999995</v>
      </c>
      <c r="K5" s="2">
        <v>43683</v>
      </c>
      <c r="L5" t="s">
        <v>74</v>
      </c>
      <c r="M5" s="6">
        <v>0.65555555555555556</v>
      </c>
      <c r="N5">
        <v>4.76</v>
      </c>
      <c r="O5">
        <v>27.84</v>
      </c>
      <c r="P5">
        <v>6.6</v>
      </c>
    </row>
    <row r="6" spans="1:16" x14ac:dyDescent="0.3">
      <c r="A6" t="s">
        <v>86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>
        <v>59.73</v>
      </c>
      <c r="H6">
        <v>2</v>
      </c>
      <c r="I6">
        <v>5.97</v>
      </c>
      <c r="J6">
        <v>125.43</v>
      </c>
      <c r="K6" s="2">
        <v>43505</v>
      </c>
      <c r="L6" t="s">
        <v>87</v>
      </c>
      <c r="M6" s="6">
        <v>0.78402777777777777</v>
      </c>
      <c r="N6">
        <v>4.76</v>
      </c>
      <c r="O6">
        <v>5.97</v>
      </c>
      <c r="P6">
        <v>8.6999999999999993</v>
      </c>
    </row>
    <row r="7" spans="1:16" x14ac:dyDescent="0.3">
      <c r="A7" t="s">
        <v>88</v>
      </c>
      <c r="B7" t="s">
        <v>81</v>
      </c>
      <c r="C7" t="s">
        <v>82</v>
      </c>
      <c r="D7" t="s">
        <v>71</v>
      </c>
      <c r="E7" t="s">
        <v>72</v>
      </c>
      <c r="F7" t="s">
        <v>89</v>
      </c>
      <c r="G7">
        <v>64.17</v>
      </c>
      <c r="H7">
        <v>9</v>
      </c>
      <c r="I7">
        <v>28.88</v>
      </c>
      <c r="J7">
        <v>606.41</v>
      </c>
      <c r="K7" s="2">
        <v>43808</v>
      </c>
      <c r="L7" t="s">
        <v>79</v>
      </c>
      <c r="M7" s="6">
        <v>0.54305555555555551</v>
      </c>
      <c r="N7">
        <v>4.76</v>
      </c>
      <c r="O7">
        <v>28.88</v>
      </c>
      <c r="P7">
        <v>7.9</v>
      </c>
    </row>
    <row r="8" spans="1:16" x14ac:dyDescent="0.3">
      <c r="A8" t="s">
        <v>90</v>
      </c>
      <c r="B8" t="s">
        <v>76</v>
      </c>
      <c r="C8" t="s">
        <v>77</v>
      </c>
      <c r="D8" t="s">
        <v>83</v>
      </c>
      <c r="E8" t="s">
        <v>78</v>
      </c>
      <c r="F8" t="s">
        <v>91</v>
      </c>
      <c r="G8">
        <v>95.32</v>
      </c>
      <c r="H8">
        <v>10</v>
      </c>
      <c r="I8">
        <v>47.66</v>
      </c>
      <c r="J8">
        <v>1000.86</v>
      </c>
      <c r="K8" s="2">
        <v>43792</v>
      </c>
      <c r="L8" t="s">
        <v>79</v>
      </c>
      <c r="M8" s="6">
        <v>0.80486111111111114</v>
      </c>
      <c r="N8">
        <v>4.76</v>
      </c>
      <c r="O8">
        <v>47.66</v>
      </c>
      <c r="P8">
        <v>7.5</v>
      </c>
    </row>
    <row r="9" spans="1:16" x14ac:dyDescent="0.3">
      <c r="A9" t="s">
        <v>92</v>
      </c>
      <c r="B9" t="s">
        <v>76</v>
      </c>
      <c r="C9" t="s">
        <v>77</v>
      </c>
      <c r="D9" t="s">
        <v>83</v>
      </c>
      <c r="E9" t="s">
        <v>78</v>
      </c>
      <c r="F9" t="s">
        <v>93</v>
      </c>
      <c r="G9">
        <v>48.09</v>
      </c>
      <c r="H9">
        <v>9</v>
      </c>
      <c r="I9">
        <v>21.64</v>
      </c>
      <c r="J9">
        <v>454.45</v>
      </c>
      <c r="K9" s="2">
        <v>43779</v>
      </c>
      <c r="L9" t="s">
        <v>74</v>
      </c>
      <c r="M9" s="6">
        <v>0.79583333333333339</v>
      </c>
      <c r="N9">
        <v>4.76</v>
      </c>
      <c r="O9">
        <v>21.64</v>
      </c>
      <c r="P9">
        <v>7</v>
      </c>
    </row>
    <row r="10" spans="1:16" x14ac:dyDescent="0.3">
      <c r="A10" t="s">
        <v>94</v>
      </c>
      <c r="B10" t="s">
        <v>81</v>
      </c>
      <c r="C10" t="s">
        <v>82</v>
      </c>
      <c r="D10" t="s">
        <v>71</v>
      </c>
      <c r="E10" t="s">
        <v>78</v>
      </c>
      <c r="F10" t="s">
        <v>84</v>
      </c>
      <c r="G10">
        <v>73.709999999999994</v>
      </c>
      <c r="H10">
        <v>4</v>
      </c>
      <c r="I10">
        <v>14.74</v>
      </c>
      <c r="J10">
        <v>309.58</v>
      </c>
      <c r="K10" s="2">
        <v>43497</v>
      </c>
      <c r="L10" t="s">
        <v>79</v>
      </c>
      <c r="M10" s="6">
        <v>0.55138888888888882</v>
      </c>
      <c r="N10">
        <v>4.76</v>
      </c>
      <c r="O10">
        <v>14.74</v>
      </c>
      <c r="P10">
        <v>7.8</v>
      </c>
    </row>
    <row r="11" spans="1:16" x14ac:dyDescent="0.3">
      <c r="A11" t="s">
        <v>95</v>
      </c>
      <c r="B11" t="s">
        <v>81</v>
      </c>
      <c r="C11" t="s">
        <v>82</v>
      </c>
      <c r="D11" t="s">
        <v>83</v>
      </c>
      <c r="E11" t="s">
        <v>72</v>
      </c>
      <c r="F11" t="s">
        <v>84</v>
      </c>
      <c r="G11">
        <v>73.680000000000007</v>
      </c>
      <c r="H11">
        <v>1</v>
      </c>
      <c r="I11">
        <v>3.68</v>
      </c>
      <c r="J11">
        <v>77.36</v>
      </c>
      <c r="K11" s="2">
        <v>43480</v>
      </c>
      <c r="L11" t="s">
        <v>79</v>
      </c>
      <c r="M11" s="6">
        <v>0.86111111111111116</v>
      </c>
      <c r="N11">
        <v>4.76</v>
      </c>
      <c r="O11">
        <v>3.68</v>
      </c>
      <c r="P11">
        <v>7.7</v>
      </c>
    </row>
    <row r="12" spans="1:16" x14ac:dyDescent="0.3">
      <c r="A12" t="s">
        <v>96</v>
      </c>
      <c r="B12" t="s">
        <v>76</v>
      </c>
      <c r="C12" t="s">
        <v>77</v>
      </c>
      <c r="D12" t="s">
        <v>71</v>
      </c>
      <c r="E12" t="s">
        <v>72</v>
      </c>
      <c r="F12" t="s">
        <v>89</v>
      </c>
      <c r="G12">
        <v>75.03</v>
      </c>
      <c r="H12">
        <v>4</v>
      </c>
      <c r="I12">
        <v>15.01</v>
      </c>
      <c r="J12">
        <v>315.13</v>
      </c>
      <c r="K12" s="2">
        <v>43740</v>
      </c>
      <c r="L12" t="s">
        <v>74</v>
      </c>
      <c r="M12" s="6">
        <v>0.79999999999999993</v>
      </c>
      <c r="N12">
        <v>4.76</v>
      </c>
      <c r="O12">
        <v>15.01</v>
      </c>
      <c r="P12">
        <v>6.5</v>
      </c>
    </row>
    <row r="13" spans="1:16" x14ac:dyDescent="0.3">
      <c r="A13" t="s">
        <v>97</v>
      </c>
      <c r="B13" t="s">
        <v>81</v>
      </c>
      <c r="C13" t="s">
        <v>82</v>
      </c>
      <c r="D13" t="s">
        <v>83</v>
      </c>
      <c r="E13" t="s">
        <v>78</v>
      </c>
      <c r="F13" t="s">
        <v>84</v>
      </c>
      <c r="G13">
        <v>80.599999999999994</v>
      </c>
      <c r="H13">
        <v>5</v>
      </c>
      <c r="I13">
        <v>20.149999999999999</v>
      </c>
      <c r="J13">
        <v>423.15</v>
      </c>
      <c r="K13" s="2">
        <v>43814</v>
      </c>
      <c r="L13" t="s">
        <v>79</v>
      </c>
      <c r="M13" s="6">
        <v>0.63402777777777775</v>
      </c>
      <c r="N13">
        <v>4.76</v>
      </c>
      <c r="O13">
        <v>20.149999999999999</v>
      </c>
      <c r="P13">
        <v>9.5</v>
      </c>
    </row>
    <row r="14" spans="1:16" x14ac:dyDescent="0.3">
      <c r="A14" t="s">
        <v>98</v>
      </c>
      <c r="B14" t="s">
        <v>76</v>
      </c>
      <c r="C14" t="s">
        <v>77</v>
      </c>
      <c r="D14" t="s">
        <v>83</v>
      </c>
      <c r="E14" t="s">
        <v>72</v>
      </c>
      <c r="F14" t="s">
        <v>89</v>
      </c>
      <c r="G14">
        <v>94.7</v>
      </c>
      <c r="H14">
        <v>4</v>
      </c>
      <c r="I14">
        <v>18.940000000000001</v>
      </c>
      <c r="J14">
        <v>397.74</v>
      </c>
      <c r="K14" s="2">
        <v>43795</v>
      </c>
      <c r="L14" t="s">
        <v>87</v>
      </c>
      <c r="M14" s="6">
        <v>0.55138888888888882</v>
      </c>
      <c r="N14">
        <v>4.76</v>
      </c>
      <c r="O14">
        <v>18.940000000000001</v>
      </c>
      <c r="P14">
        <v>9.1999999999999993</v>
      </c>
    </row>
    <row r="15" spans="1:16" x14ac:dyDescent="0.3">
      <c r="A15" t="s">
        <v>99</v>
      </c>
      <c r="B15" t="s">
        <v>69</v>
      </c>
      <c r="C15" t="s">
        <v>70</v>
      </c>
      <c r="D15" t="s">
        <v>71</v>
      </c>
      <c r="E15" t="s">
        <v>72</v>
      </c>
      <c r="F15" t="s">
        <v>100</v>
      </c>
      <c r="G15">
        <v>59.23</v>
      </c>
      <c r="H15">
        <v>2</v>
      </c>
      <c r="I15">
        <v>5.92</v>
      </c>
      <c r="J15">
        <v>124.38</v>
      </c>
      <c r="K15" s="2">
        <v>43598</v>
      </c>
      <c r="L15" t="s">
        <v>74</v>
      </c>
      <c r="M15" s="6">
        <v>0.61249999999999993</v>
      </c>
      <c r="N15">
        <v>4.76</v>
      </c>
      <c r="O15">
        <v>5.92</v>
      </c>
      <c r="P15">
        <v>9</v>
      </c>
    </row>
    <row r="16" spans="1:16" x14ac:dyDescent="0.3">
      <c r="A16" t="s">
        <v>101</v>
      </c>
      <c r="B16" t="s">
        <v>81</v>
      </c>
      <c r="C16" t="s">
        <v>82</v>
      </c>
      <c r="D16" t="s">
        <v>83</v>
      </c>
      <c r="E16" t="s">
        <v>72</v>
      </c>
      <c r="F16" t="s">
        <v>84</v>
      </c>
      <c r="G16">
        <v>73.81</v>
      </c>
      <c r="H16">
        <v>5</v>
      </c>
      <c r="I16">
        <v>18.45</v>
      </c>
      <c r="J16">
        <v>387.5</v>
      </c>
      <c r="K16" s="2">
        <v>43664</v>
      </c>
      <c r="L16" t="s">
        <v>87</v>
      </c>
      <c r="M16" s="6">
        <v>0.5541666666666667</v>
      </c>
      <c r="N16">
        <v>4.76</v>
      </c>
      <c r="O16">
        <v>18.45</v>
      </c>
      <c r="P16">
        <v>9.1999999999999993</v>
      </c>
    </row>
    <row r="17" spans="1:16" x14ac:dyDescent="0.3">
      <c r="A17" t="s">
        <v>102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>
        <v>58.84</v>
      </c>
      <c r="H17">
        <v>7</v>
      </c>
      <c r="I17">
        <v>20.59</v>
      </c>
      <c r="J17">
        <v>432.47</v>
      </c>
      <c r="K17" s="2">
        <v>43549</v>
      </c>
      <c r="L17" t="s">
        <v>79</v>
      </c>
      <c r="M17" s="6">
        <v>0.71805555555555556</v>
      </c>
      <c r="N17">
        <v>4.76</v>
      </c>
      <c r="O17">
        <v>20.59</v>
      </c>
      <c r="P17">
        <v>7.2</v>
      </c>
    </row>
    <row r="18" spans="1:16" x14ac:dyDescent="0.3">
      <c r="A18" t="s">
        <v>103</v>
      </c>
      <c r="B18" t="s">
        <v>69</v>
      </c>
      <c r="C18" t="s">
        <v>70</v>
      </c>
      <c r="D18" t="s">
        <v>71</v>
      </c>
      <c r="E18" t="s">
        <v>78</v>
      </c>
      <c r="F18" t="s">
        <v>93</v>
      </c>
      <c r="G18">
        <v>36.33</v>
      </c>
      <c r="H18">
        <v>5</v>
      </c>
      <c r="I18">
        <v>9.08</v>
      </c>
      <c r="J18">
        <v>190.73</v>
      </c>
      <c r="K18" s="2">
        <v>43539</v>
      </c>
      <c r="L18" t="s">
        <v>79</v>
      </c>
      <c r="M18" s="6">
        <v>0.86597222222222225</v>
      </c>
      <c r="N18">
        <v>4.76</v>
      </c>
      <c r="O18">
        <v>9.08</v>
      </c>
      <c r="P18">
        <v>7.6</v>
      </c>
    </row>
    <row r="19" spans="1:16" x14ac:dyDescent="0.3">
      <c r="A19" t="s">
        <v>104</v>
      </c>
      <c r="B19" t="s">
        <v>76</v>
      </c>
      <c r="C19" t="s">
        <v>77</v>
      </c>
      <c r="D19" t="s">
        <v>83</v>
      </c>
      <c r="E19" t="s">
        <v>78</v>
      </c>
      <c r="F19" t="s">
        <v>84</v>
      </c>
      <c r="G19">
        <v>11.69</v>
      </c>
      <c r="H19">
        <v>3</v>
      </c>
      <c r="I19">
        <v>1.75</v>
      </c>
      <c r="J19">
        <v>36.82</v>
      </c>
      <c r="K19" s="2">
        <v>43523</v>
      </c>
      <c r="L19" t="s">
        <v>74</v>
      </c>
      <c r="M19" s="6">
        <v>0.63402777777777775</v>
      </c>
      <c r="N19">
        <v>4.76</v>
      </c>
      <c r="O19">
        <v>1.75</v>
      </c>
      <c r="P19">
        <v>8.9</v>
      </c>
    </row>
    <row r="20" spans="1:16" x14ac:dyDescent="0.3">
      <c r="A20" t="s">
        <v>105</v>
      </c>
      <c r="B20" t="s">
        <v>69</v>
      </c>
      <c r="C20" t="s">
        <v>70</v>
      </c>
      <c r="D20" t="s">
        <v>71</v>
      </c>
      <c r="E20" t="s">
        <v>78</v>
      </c>
      <c r="F20" t="s">
        <v>100</v>
      </c>
      <c r="G20">
        <v>88.99</v>
      </c>
      <c r="H20">
        <v>9</v>
      </c>
      <c r="I20">
        <v>40.049999999999997</v>
      </c>
      <c r="J20">
        <v>840.96</v>
      </c>
      <c r="K20" s="2">
        <v>43722</v>
      </c>
      <c r="L20" t="s">
        <v>87</v>
      </c>
      <c r="M20" s="6">
        <v>0.72569444444444453</v>
      </c>
      <c r="N20">
        <v>4.76</v>
      </c>
      <c r="O20">
        <v>40.049999999999997</v>
      </c>
      <c r="P20">
        <v>7.4</v>
      </c>
    </row>
    <row r="21" spans="1:16" x14ac:dyDescent="0.3">
      <c r="A21" t="s">
        <v>106</v>
      </c>
      <c r="B21" t="s">
        <v>81</v>
      </c>
      <c r="C21" t="s">
        <v>82</v>
      </c>
      <c r="D21" t="s">
        <v>71</v>
      </c>
      <c r="E21" t="s">
        <v>78</v>
      </c>
      <c r="F21" t="s">
        <v>100</v>
      </c>
      <c r="G21">
        <v>96.45</v>
      </c>
      <c r="H21">
        <v>6</v>
      </c>
      <c r="I21">
        <v>28.94</v>
      </c>
      <c r="J21">
        <v>607.64</v>
      </c>
      <c r="K21" s="2">
        <v>43507</v>
      </c>
      <c r="L21" t="s">
        <v>79</v>
      </c>
      <c r="M21" s="6">
        <v>0.51944444444444449</v>
      </c>
      <c r="N21">
        <v>4.76</v>
      </c>
      <c r="O21">
        <v>28.94</v>
      </c>
      <c r="P21">
        <v>8</v>
      </c>
    </row>
    <row r="22" spans="1:16" x14ac:dyDescent="0.3">
      <c r="A22" t="s">
        <v>107</v>
      </c>
      <c r="B22" t="s">
        <v>69</v>
      </c>
      <c r="C22" t="s">
        <v>70</v>
      </c>
      <c r="D22" t="s">
        <v>71</v>
      </c>
      <c r="E22" t="s">
        <v>72</v>
      </c>
      <c r="F22" t="s">
        <v>100</v>
      </c>
      <c r="G22">
        <v>65.44</v>
      </c>
      <c r="H22">
        <v>6</v>
      </c>
      <c r="I22">
        <v>19.63</v>
      </c>
      <c r="J22">
        <v>412.27</v>
      </c>
      <c r="K22" s="2">
        <v>43720</v>
      </c>
      <c r="L22" t="s">
        <v>87</v>
      </c>
      <c r="M22" s="6">
        <v>0.50902777777777775</v>
      </c>
      <c r="N22">
        <v>4.76</v>
      </c>
      <c r="O22">
        <v>19.63</v>
      </c>
      <c r="P22">
        <v>8.4</v>
      </c>
    </row>
    <row r="23" spans="1:16" x14ac:dyDescent="0.3">
      <c r="A23" t="s">
        <v>108</v>
      </c>
      <c r="B23" t="s">
        <v>81</v>
      </c>
      <c r="C23" t="s">
        <v>82</v>
      </c>
      <c r="D23" t="s">
        <v>71</v>
      </c>
      <c r="E23" t="s">
        <v>72</v>
      </c>
      <c r="F23" t="s">
        <v>100</v>
      </c>
      <c r="G23">
        <v>34.14</v>
      </c>
      <c r="H23">
        <v>1</v>
      </c>
      <c r="I23">
        <v>1.71</v>
      </c>
      <c r="J23">
        <v>35.85</v>
      </c>
      <c r="K23" s="2">
        <v>43570</v>
      </c>
      <c r="L23" t="s">
        <v>74</v>
      </c>
      <c r="M23" s="6">
        <v>0.71180555555555547</v>
      </c>
      <c r="N23">
        <v>4.76</v>
      </c>
      <c r="O23">
        <v>1.71</v>
      </c>
      <c r="P23">
        <v>6.6</v>
      </c>
    </row>
    <row r="24" spans="1:16" x14ac:dyDescent="0.3">
      <c r="A24" t="s">
        <v>109</v>
      </c>
      <c r="B24" t="s">
        <v>69</v>
      </c>
      <c r="C24" t="s">
        <v>70</v>
      </c>
      <c r="D24" t="s">
        <v>71</v>
      </c>
      <c r="E24" t="s">
        <v>78</v>
      </c>
      <c r="F24" t="s">
        <v>89</v>
      </c>
      <c r="G24">
        <v>98.39</v>
      </c>
      <c r="H24">
        <v>3</v>
      </c>
      <c r="I24">
        <v>14.76</v>
      </c>
      <c r="J24">
        <v>309.93</v>
      </c>
      <c r="K24" s="2">
        <v>43665</v>
      </c>
      <c r="L24" t="s">
        <v>87</v>
      </c>
      <c r="M24" s="6">
        <v>0.4770833333333333</v>
      </c>
      <c r="N24">
        <v>4.76</v>
      </c>
      <c r="O24">
        <v>14.76</v>
      </c>
      <c r="P24">
        <v>8.4</v>
      </c>
    </row>
    <row r="25" spans="1:16" x14ac:dyDescent="0.3">
      <c r="A25" t="s">
        <v>110</v>
      </c>
      <c r="B25" t="s">
        <v>76</v>
      </c>
      <c r="C25" t="s">
        <v>77</v>
      </c>
      <c r="D25" t="s">
        <v>83</v>
      </c>
      <c r="E25" t="s">
        <v>72</v>
      </c>
      <c r="F25" t="s">
        <v>100</v>
      </c>
      <c r="G25">
        <v>36.93</v>
      </c>
      <c r="H25">
        <v>5</v>
      </c>
      <c r="I25">
        <v>9.23</v>
      </c>
      <c r="J25">
        <v>193.88</v>
      </c>
      <c r="K25" s="2">
        <v>43477</v>
      </c>
      <c r="L25" t="s">
        <v>79</v>
      </c>
      <c r="M25" s="6">
        <v>0.60069444444444442</v>
      </c>
      <c r="N25">
        <v>4.76</v>
      </c>
      <c r="O25">
        <v>9.23</v>
      </c>
      <c r="P25">
        <v>9.3000000000000007</v>
      </c>
    </row>
    <row r="26" spans="1:16" x14ac:dyDescent="0.3">
      <c r="A26" t="s">
        <v>111</v>
      </c>
      <c r="B26" t="s">
        <v>76</v>
      </c>
      <c r="C26" t="s">
        <v>77</v>
      </c>
      <c r="D26" t="s">
        <v>83</v>
      </c>
      <c r="E26" t="s">
        <v>78</v>
      </c>
      <c r="F26" t="s">
        <v>73</v>
      </c>
      <c r="G26">
        <v>50.79</v>
      </c>
      <c r="H26">
        <v>6</v>
      </c>
      <c r="I26">
        <v>15.24</v>
      </c>
      <c r="J26">
        <v>319.98</v>
      </c>
      <c r="K26" s="2">
        <v>43810</v>
      </c>
      <c r="L26" t="s">
        <v>87</v>
      </c>
      <c r="M26" s="6">
        <v>0.53472222222222221</v>
      </c>
      <c r="N26">
        <v>4.76</v>
      </c>
      <c r="O26">
        <v>15.24</v>
      </c>
      <c r="P26">
        <v>8.1999999999999993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5"/>
  <sheetViews>
    <sheetView topLeftCell="A22" zoomScale="70" zoomScaleNormal="70" workbookViewId="0">
      <selection activeCell="P23" sqref="P23"/>
    </sheetView>
  </sheetViews>
  <sheetFormatPr defaultRowHeight="14.4" x14ac:dyDescent="0.3"/>
  <cols>
    <col min="1" max="1" width="21.21875" bestFit="1" customWidth="1"/>
    <col min="2" max="2" width="15.5546875" customWidth="1"/>
    <col min="3" max="3" width="10.33203125" customWidth="1"/>
    <col min="4" max="4" width="13.33203125" customWidth="1"/>
    <col min="5" max="5" width="11.33203125" customWidth="1"/>
    <col min="6" max="6" width="14.88671875" bestFit="1" customWidth="1"/>
    <col min="7" max="7" width="5.21875" customWidth="1"/>
    <col min="8" max="8" width="15.6640625" bestFit="1" customWidth="1"/>
    <col min="9" max="9" width="13.6640625" customWidth="1"/>
    <col min="10" max="10" width="16.44140625" bestFit="1" customWidth="1"/>
    <col min="11" max="11" width="18.109375" bestFit="1" customWidth="1"/>
    <col min="12" max="12" width="19.6640625" bestFit="1" customWidth="1"/>
    <col min="13" max="13" width="20.44140625" bestFit="1" customWidth="1"/>
  </cols>
  <sheetData>
    <row r="3" spans="1:13" x14ac:dyDescent="0.3">
      <c r="B3" s="10" t="s">
        <v>118</v>
      </c>
      <c r="C3" s="10"/>
      <c r="D3" s="15"/>
      <c r="E3" s="15"/>
      <c r="F3" s="18"/>
      <c r="G3" s="18"/>
      <c r="H3" s="19"/>
      <c r="I3" s="19"/>
      <c r="J3" s="10"/>
      <c r="K3" s="15"/>
      <c r="L3" s="18"/>
      <c r="M3" s="19"/>
    </row>
    <row r="4" spans="1:13" x14ac:dyDescent="0.3">
      <c r="B4" s="10" t="s">
        <v>114</v>
      </c>
      <c r="C4" s="10"/>
      <c r="D4" s="15" t="s">
        <v>115</v>
      </c>
      <c r="E4" s="15"/>
      <c r="F4" s="18" t="s">
        <v>116</v>
      </c>
      <c r="G4" s="18"/>
      <c r="H4" s="19" t="s">
        <v>117</v>
      </c>
      <c r="I4" s="19"/>
      <c r="J4" s="10" t="s">
        <v>119</v>
      </c>
      <c r="K4" s="15" t="s">
        <v>120</v>
      </c>
      <c r="L4" s="18" t="s">
        <v>121</v>
      </c>
      <c r="M4" s="19" t="s">
        <v>122</v>
      </c>
    </row>
    <row r="5" spans="1:13" x14ac:dyDescent="0.3">
      <c r="A5" s="7" t="s">
        <v>112</v>
      </c>
      <c r="B5" s="10" t="s">
        <v>78</v>
      </c>
      <c r="C5" s="10" t="s">
        <v>72</v>
      </c>
      <c r="D5" s="15" t="s">
        <v>78</v>
      </c>
      <c r="E5" s="15" t="s">
        <v>72</v>
      </c>
      <c r="F5" s="18" t="s">
        <v>78</v>
      </c>
      <c r="G5" s="18" t="s">
        <v>72</v>
      </c>
      <c r="H5" s="19" t="s">
        <v>78</v>
      </c>
      <c r="I5" s="19" t="s">
        <v>72</v>
      </c>
      <c r="J5" s="10"/>
      <c r="K5" s="15"/>
      <c r="L5" s="18"/>
      <c r="M5" s="19"/>
    </row>
    <row r="6" spans="1:13" x14ac:dyDescent="0.3">
      <c r="A6" s="8" t="s">
        <v>84</v>
      </c>
      <c r="B6" s="12">
        <v>863.74</v>
      </c>
      <c r="C6" s="12">
        <v>464.86</v>
      </c>
      <c r="D6" s="14">
        <v>41.129999999999995</v>
      </c>
      <c r="E6" s="14">
        <v>22.13</v>
      </c>
      <c r="F6" s="17">
        <v>13</v>
      </c>
      <c r="G6" s="17">
        <v>6</v>
      </c>
      <c r="H6" s="13">
        <v>255.7</v>
      </c>
      <c r="I6" s="13">
        <v>147.49</v>
      </c>
      <c r="J6" s="12">
        <v>1328.6</v>
      </c>
      <c r="K6" s="14">
        <v>63.259999999999991</v>
      </c>
      <c r="L6" s="17">
        <v>19</v>
      </c>
      <c r="M6" s="13">
        <v>403.19</v>
      </c>
    </row>
    <row r="7" spans="1:13" x14ac:dyDescent="0.3">
      <c r="A7" s="9" t="s">
        <v>77</v>
      </c>
      <c r="B7" s="12">
        <v>36.82</v>
      </c>
      <c r="C7" s="12"/>
      <c r="D7" s="14">
        <v>1.75</v>
      </c>
      <c r="E7" s="14"/>
      <c r="F7" s="17">
        <v>3</v>
      </c>
      <c r="G7" s="17"/>
      <c r="H7" s="13">
        <v>11.69</v>
      </c>
      <c r="I7" s="13"/>
      <c r="J7" s="12">
        <v>36.82</v>
      </c>
      <c r="K7" s="14">
        <v>1.75</v>
      </c>
      <c r="L7" s="17">
        <v>3</v>
      </c>
      <c r="M7" s="13">
        <v>11.69</v>
      </c>
    </row>
    <row r="8" spans="1:13" x14ac:dyDescent="0.3">
      <c r="A8" s="9" t="s">
        <v>82</v>
      </c>
      <c r="B8" s="12">
        <v>826.92</v>
      </c>
      <c r="C8" s="12">
        <v>464.86</v>
      </c>
      <c r="D8" s="14">
        <v>39.379999999999995</v>
      </c>
      <c r="E8" s="14">
        <v>22.13</v>
      </c>
      <c r="F8" s="17">
        <v>10</v>
      </c>
      <c r="G8" s="17">
        <v>6</v>
      </c>
      <c r="H8" s="13">
        <v>244.01</v>
      </c>
      <c r="I8" s="13">
        <v>147.49</v>
      </c>
      <c r="J8" s="12">
        <v>1291.78</v>
      </c>
      <c r="K8" s="14">
        <v>61.509999999999991</v>
      </c>
      <c r="L8" s="17">
        <v>16</v>
      </c>
      <c r="M8" s="13">
        <v>391.5</v>
      </c>
    </row>
    <row r="9" spans="1:13" x14ac:dyDescent="0.3">
      <c r="A9" s="8" t="s">
        <v>93</v>
      </c>
      <c r="B9" s="12">
        <v>645.17999999999995</v>
      </c>
      <c r="C9" s="12"/>
      <c r="D9" s="14">
        <v>30.72</v>
      </c>
      <c r="E9" s="14"/>
      <c r="F9" s="17">
        <v>14</v>
      </c>
      <c r="G9" s="17"/>
      <c r="H9" s="13">
        <v>84.42</v>
      </c>
      <c r="I9" s="13"/>
      <c r="J9" s="12">
        <v>645.17999999999995</v>
      </c>
      <c r="K9" s="14">
        <v>30.72</v>
      </c>
      <c r="L9" s="17">
        <v>14</v>
      </c>
      <c r="M9" s="13">
        <v>84.42</v>
      </c>
    </row>
    <row r="10" spans="1:13" x14ac:dyDescent="0.3">
      <c r="A10" s="9" t="s">
        <v>77</v>
      </c>
      <c r="B10" s="12">
        <v>454.45</v>
      </c>
      <c r="C10" s="12"/>
      <c r="D10" s="14">
        <v>21.64</v>
      </c>
      <c r="E10" s="14"/>
      <c r="F10" s="17">
        <v>9</v>
      </c>
      <c r="G10" s="17"/>
      <c r="H10" s="13">
        <v>48.09</v>
      </c>
      <c r="I10" s="13"/>
      <c r="J10" s="12">
        <v>454.45</v>
      </c>
      <c r="K10" s="14">
        <v>21.64</v>
      </c>
      <c r="L10" s="17">
        <v>9</v>
      </c>
      <c r="M10" s="13">
        <v>48.09</v>
      </c>
    </row>
    <row r="11" spans="1:13" x14ac:dyDescent="0.3">
      <c r="A11" s="9" t="s">
        <v>70</v>
      </c>
      <c r="B11" s="12">
        <v>190.73</v>
      </c>
      <c r="C11" s="12"/>
      <c r="D11" s="14">
        <v>9.08</v>
      </c>
      <c r="E11" s="14"/>
      <c r="F11" s="17">
        <v>5</v>
      </c>
      <c r="G11" s="17"/>
      <c r="H11" s="13">
        <v>36.33</v>
      </c>
      <c r="I11" s="13"/>
      <c r="J11" s="12">
        <v>190.73</v>
      </c>
      <c r="K11" s="14">
        <v>9.08</v>
      </c>
      <c r="L11" s="17">
        <v>5</v>
      </c>
      <c r="M11" s="13">
        <v>36.33</v>
      </c>
    </row>
    <row r="12" spans="1:13" x14ac:dyDescent="0.3">
      <c r="A12" s="8" t="s">
        <v>100</v>
      </c>
      <c r="B12" s="12">
        <v>1448.6</v>
      </c>
      <c r="C12" s="12">
        <v>766.38</v>
      </c>
      <c r="D12" s="14">
        <v>68.989999999999995</v>
      </c>
      <c r="E12" s="14">
        <v>36.49</v>
      </c>
      <c r="F12" s="17">
        <v>15</v>
      </c>
      <c r="G12" s="17">
        <v>14</v>
      </c>
      <c r="H12" s="13">
        <v>185.44</v>
      </c>
      <c r="I12" s="13">
        <v>195.74</v>
      </c>
      <c r="J12" s="12">
        <v>2214.9800000000005</v>
      </c>
      <c r="K12" s="14">
        <v>105.48</v>
      </c>
      <c r="L12" s="17">
        <v>29</v>
      </c>
      <c r="M12" s="13">
        <v>381.17999999999995</v>
      </c>
    </row>
    <row r="13" spans="1:13" x14ac:dyDescent="0.3">
      <c r="A13" s="9" t="s">
        <v>77</v>
      </c>
      <c r="B13" s="12"/>
      <c r="C13" s="12">
        <v>193.88</v>
      </c>
      <c r="D13" s="14"/>
      <c r="E13" s="14">
        <v>9.23</v>
      </c>
      <c r="F13" s="17"/>
      <c r="G13" s="17">
        <v>5</v>
      </c>
      <c r="H13" s="13"/>
      <c r="I13" s="13">
        <v>36.93</v>
      </c>
      <c r="J13" s="12">
        <v>193.88</v>
      </c>
      <c r="K13" s="14">
        <v>9.23</v>
      </c>
      <c r="L13" s="17">
        <v>5</v>
      </c>
      <c r="M13" s="13">
        <v>36.93</v>
      </c>
    </row>
    <row r="14" spans="1:13" x14ac:dyDescent="0.3">
      <c r="A14" s="9" t="s">
        <v>70</v>
      </c>
      <c r="B14" s="12">
        <v>840.96</v>
      </c>
      <c r="C14" s="12">
        <v>536.65</v>
      </c>
      <c r="D14" s="14">
        <v>40.049999999999997</v>
      </c>
      <c r="E14" s="14">
        <v>25.549999999999997</v>
      </c>
      <c r="F14" s="17">
        <v>9</v>
      </c>
      <c r="G14" s="17">
        <v>8</v>
      </c>
      <c r="H14" s="13">
        <v>88.99</v>
      </c>
      <c r="I14" s="13">
        <v>124.66999999999999</v>
      </c>
      <c r="J14" s="12">
        <v>1377.6100000000001</v>
      </c>
      <c r="K14" s="14">
        <v>65.599999999999994</v>
      </c>
      <c r="L14" s="17">
        <v>17</v>
      </c>
      <c r="M14" s="13">
        <v>213.65999999999997</v>
      </c>
    </row>
    <row r="15" spans="1:13" x14ac:dyDescent="0.3">
      <c r="A15" s="9" t="s">
        <v>82</v>
      </c>
      <c r="B15" s="12">
        <v>607.64</v>
      </c>
      <c r="C15" s="12">
        <v>35.85</v>
      </c>
      <c r="D15" s="14">
        <v>28.94</v>
      </c>
      <c r="E15" s="14">
        <v>1.71</v>
      </c>
      <c r="F15" s="17">
        <v>6</v>
      </c>
      <c r="G15" s="17">
        <v>1</v>
      </c>
      <c r="H15" s="13">
        <v>96.45</v>
      </c>
      <c r="I15" s="13">
        <v>34.14</v>
      </c>
      <c r="J15" s="12">
        <v>643.49</v>
      </c>
      <c r="K15" s="14">
        <v>30.650000000000002</v>
      </c>
      <c r="L15" s="17">
        <v>7</v>
      </c>
      <c r="M15" s="13">
        <v>130.59</v>
      </c>
    </row>
    <row r="16" spans="1:13" x14ac:dyDescent="0.3">
      <c r="A16" s="8" t="s">
        <v>73</v>
      </c>
      <c r="B16" s="12">
        <v>1567.6399999999999</v>
      </c>
      <c r="C16" s="12">
        <v>732.94</v>
      </c>
      <c r="D16" s="14">
        <v>74.66</v>
      </c>
      <c r="E16" s="14">
        <v>34.9</v>
      </c>
      <c r="F16" s="17">
        <v>22</v>
      </c>
      <c r="G16" s="17">
        <v>14</v>
      </c>
      <c r="H16" s="13">
        <v>200.49</v>
      </c>
      <c r="I16" s="13">
        <v>151.91</v>
      </c>
      <c r="J16" s="12">
        <v>2300.58</v>
      </c>
      <c r="K16" s="14">
        <v>109.56</v>
      </c>
      <c r="L16" s="17">
        <v>36</v>
      </c>
      <c r="M16" s="13">
        <v>352.4</v>
      </c>
    </row>
    <row r="17" spans="1:13" x14ac:dyDescent="0.3">
      <c r="A17" s="9" t="s">
        <v>77</v>
      </c>
      <c r="B17" s="12">
        <v>983.09</v>
      </c>
      <c r="C17" s="12"/>
      <c r="D17" s="14">
        <v>46.82</v>
      </c>
      <c r="E17" s="14"/>
      <c r="F17" s="17">
        <v>15</v>
      </c>
      <c r="G17" s="17"/>
      <c r="H17" s="13">
        <v>120.96000000000001</v>
      </c>
      <c r="I17" s="13"/>
      <c r="J17" s="12">
        <v>983.09</v>
      </c>
      <c r="K17" s="14">
        <v>46.82</v>
      </c>
      <c r="L17" s="17">
        <v>15</v>
      </c>
      <c r="M17" s="13">
        <v>120.96000000000001</v>
      </c>
    </row>
    <row r="18" spans="1:13" x14ac:dyDescent="0.3">
      <c r="A18" s="9" t="s">
        <v>70</v>
      </c>
      <c r="B18" s="12">
        <v>584.54999999999995</v>
      </c>
      <c r="C18" s="12">
        <v>732.94</v>
      </c>
      <c r="D18" s="14">
        <v>27.84</v>
      </c>
      <c r="E18" s="14">
        <v>34.9</v>
      </c>
      <c r="F18" s="17">
        <v>7</v>
      </c>
      <c r="G18" s="17">
        <v>14</v>
      </c>
      <c r="H18" s="13">
        <v>79.53</v>
      </c>
      <c r="I18" s="13">
        <v>151.91</v>
      </c>
      <c r="J18" s="12">
        <v>1317.49</v>
      </c>
      <c r="K18" s="14">
        <v>62.739999999999995</v>
      </c>
      <c r="L18" s="17">
        <v>21</v>
      </c>
      <c r="M18" s="13">
        <v>231.44</v>
      </c>
    </row>
    <row r="19" spans="1:13" x14ac:dyDescent="0.3">
      <c r="A19" s="8" t="s">
        <v>91</v>
      </c>
      <c r="B19" s="12">
        <v>1000.86</v>
      </c>
      <c r="C19" s="12"/>
      <c r="D19" s="14">
        <v>47.66</v>
      </c>
      <c r="E19" s="14"/>
      <c r="F19" s="17">
        <v>10</v>
      </c>
      <c r="G19" s="17"/>
      <c r="H19" s="13">
        <v>95.32</v>
      </c>
      <c r="I19" s="13"/>
      <c r="J19" s="12">
        <v>1000.86</v>
      </c>
      <c r="K19" s="14">
        <v>47.66</v>
      </c>
      <c r="L19" s="17">
        <v>10</v>
      </c>
      <c r="M19" s="13">
        <v>95.32</v>
      </c>
    </row>
    <row r="20" spans="1:13" x14ac:dyDescent="0.3">
      <c r="A20" s="9" t="s">
        <v>77</v>
      </c>
      <c r="B20" s="12">
        <v>1000.86</v>
      </c>
      <c r="C20" s="12"/>
      <c r="D20" s="14">
        <v>47.66</v>
      </c>
      <c r="E20" s="14"/>
      <c r="F20" s="17">
        <v>10</v>
      </c>
      <c r="G20" s="17"/>
      <c r="H20" s="13">
        <v>95.32</v>
      </c>
      <c r="I20" s="13"/>
      <c r="J20" s="12">
        <v>1000.86</v>
      </c>
      <c r="K20" s="14">
        <v>47.66</v>
      </c>
      <c r="L20" s="17">
        <v>10</v>
      </c>
      <c r="M20" s="13">
        <v>95.32</v>
      </c>
    </row>
    <row r="21" spans="1:13" x14ac:dyDescent="0.3">
      <c r="A21" s="8" t="s">
        <v>89</v>
      </c>
      <c r="B21" s="12">
        <v>309.93</v>
      </c>
      <c r="C21" s="12">
        <v>1319.28</v>
      </c>
      <c r="D21" s="14">
        <v>14.76</v>
      </c>
      <c r="E21" s="14">
        <v>62.83</v>
      </c>
      <c r="F21" s="17">
        <v>3</v>
      </c>
      <c r="G21" s="17">
        <v>17</v>
      </c>
      <c r="H21" s="13">
        <v>98.39</v>
      </c>
      <c r="I21" s="13">
        <v>233.90000000000003</v>
      </c>
      <c r="J21" s="12">
        <v>1629.21</v>
      </c>
      <c r="K21" s="14">
        <v>77.59</v>
      </c>
      <c r="L21" s="17">
        <v>20</v>
      </c>
      <c r="M21" s="13">
        <v>332.29</v>
      </c>
    </row>
    <row r="22" spans="1:13" x14ac:dyDescent="0.3">
      <c r="A22" s="9" t="s">
        <v>77</v>
      </c>
      <c r="B22" s="12"/>
      <c r="C22" s="12">
        <v>712.87</v>
      </c>
      <c r="D22" s="14"/>
      <c r="E22" s="14">
        <v>33.950000000000003</v>
      </c>
      <c r="F22" s="17"/>
      <c r="G22" s="17">
        <v>8</v>
      </c>
      <c r="H22" s="13"/>
      <c r="I22" s="13">
        <v>169.73000000000002</v>
      </c>
      <c r="J22" s="12">
        <v>712.87</v>
      </c>
      <c r="K22" s="14">
        <v>33.950000000000003</v>
      </c>
      <c r="L22" s="17">
        <v>8</v>
      </c>
      <c r="M22" s="13">
        <v>169.73000000000002</v>
      </c>
    </row>
    <row r="23" spans="1:13" x14ac:dyDescent="0.3">
      <c r="A23" s="9" t="s">
        <v>70</v>
      </c>
      <c r="B23" s="12">
        <v>309.93</v>
      </c>
      <c r="C23" s="12"/>
      <c r="D23" s="14">
        <v>14.76</v>
      </c>
      <c r="E23" s="14"/>
      <c r="F23" s="17">
        <v>3</v>
      </c>
      <c r="G23" s="17"/>
      <c r="H23" s="13">
        <v>98.39</v>
      </c>
      <c r="I23" s="13"/>
      <c r="J23" s="12">
        <v>309.93</v>
      </c>
      <c r="K23" s="14">
        <v>14.76</v>
      </c>
      <c r="L23" s="17">
        <v>3</v>
      </c>
      <c r="M23" s="13">
        <v>98.39</v>
      </c>
    </row>
    <row r="24" spans="1:13" x14ac:dyDescent="0.3">
      <c r="A24" s="9" t="s">
        <v>82</v>
      </c>
      <c r="B24" s="12"/>
      <c r="C24" s="12">
        <v>606.41</v>
      </c>
      <c r="D24" s="14"/>
      <c r="E24" s="14">
        <v>28.88</v>
      </c>
      <c r="F24" s="17"/>
      <c r="G24" s="17">
        <v>9</v>
      </c>
      <c r="H24" s="13"/>
      <c r="I24" s="13">
        <v>64.17</v>
      </c>
      <c r="J24" s="12">
        <v>606.41</v>
      </c>
      <c r="K24" s="14">
        <v>28.88</v>
      </c>
      <c r="L24" s="17">
        <v>9</v>
      </c>
      <c r="M24" s="13">
        <v>64.17</v>
      </c>
    </row>
    <row r="25" spans="1:13" x14ac:dyDescent="0.3">
      <c r="A25" s="8" t="s">
        <v>113</v>
      </c>
      <c r="B25" s="11">
        <v>5835.95</v>
      </c>
      <c r="C25" s="11">
        <v>3283.4599999999996</v>
      </c>
      <c r="D25" s="16">
        <v>277.91999999999996</v>
      </c>
      <c r="E25" s="16">
        <v>156.35</v>
      </c>
      <c r="F25" s="21">
        <v>77</v>
      </c>
      <c r="G25" s="21">
        <v>51</v>
      </c>
      <c r="H25" s="20">
        <v>919.75999999999988</v>
      </c>
      <c r="I25" s="13">
        <v>729.04</v>
      </c>
      <c r="J25" s="11">
        <v>9119.41</v>
      </c>
      <c r="K25" s="14">
        <v>434.26999999999992</v>
      </c>
      <c r="L25" s="21">
        <v>128</v>
      </c>
      <c r="M25" s="20">
        <v>1648.8000000000002</v>
      </c>
    </row>
  </sheetData>
  <pageMargins left="0.7" right="0.7" top="0.75" bottom="0.75" header="0.3" footer="0.3"/>
  <pageSetup orientation="portrait" horizontalDpi="360" verticalDpi="36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53F641-DB62-433F-957A-14A4E710E7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Day1</vt:lpstr>
      <vt:lpstr>Day2</vt:lpstr>
      <vt:lpstr>D2(dataset)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2025-09-17T06:22:20Z</dcterms:created>
  <dcterms:modified xsi:type="dcterms:W3CDTF">2025-11-14T05:16:35Z</dcterms:modified>
</cp:coreProperties>
</file>